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Default Extension="bin" ContentType="application/vnd.ms-office.vbaProject"/>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activeTab="2"/>
  </bookViews>
  <sheets>
    <sheet name="ScenarioSettings" sheetId="1" r:id="rId3" state="visible"/>
    <sheet name="ParameterMetadata" sheetId="2" r:id="rId4" state="visible"/>
    <sheet name="Tasks" sheetId="3" r:id="rId5" state="visible"/>
    <sheet name="Constraints" sheetId="4" r:id="rId6" state="visible"/>
    <sheet name="Resources" sheetId="5" r:id="rId7" state="visible"/>
    <sheet name="Stockpiles" sheetId="6" r:id="rId8" state="visible"/>
    <sheet name="PriceDeck" sheetId="7" r:id="rId9" state="visible"/>
    <sheet name="Penalties" sheetId="8" r:id="rId10" state="visible"/>
    <sheet name="CostModel" sheetId="9" r:id="rId11" state="visible"/>
    <sheet name="Results_TaskSchedule" sheetId="10" r:id="rId13"/>
    <sheet name="Results_Stockpiles" sheetId="11" r:id="rId14"/>
    <sheet name="Results_Objective" sheetId="12" r:id="rId15"/>
    <sheet name="Results_Options" sheetId="13" r:id="rId16"/>
    <sheet name="Results_Penalties" sheetId="14" r:id="rId17"/>
    <sheet name="Results_Diagnostics" sheetId="15" r:id="rId18"/>
  </sheets>
  <calcPr iterateCount="100" iterateDelta="0.001" refMode="A1"/>
  <extLst>
    <ext xmlns:loext="http://schemas.libreoffice.org/" uri="{7626C862-2A13-11E5-B345-FEFF819CDC9F}">
      <loext:extCalcPr stringRefSyntax="CalcA1"/>
    </ext>
  </extLst>
</workbook>
</file>

<file path=xl/sharedStrings.xml><?xml version="1.0" encoding="utf-8"?>
<sst xmlns="http://schemas.openxmlformats.org/spreadsheetml/2006/main" count="180" uniqueCount="180">
  <si>
    <t xml:space="preserve">project_start</t>
  </si>
  <si>
    <t xml:space="preserve">discount_rate</t>
  </si>
  <si>
    <t xml:space="preserve">parameter_key</t>
  </si>
  <si>
    <t xml:space="preserve">category</t>
  </si>
  <si>
    <t xml:space="preserve">name</t>
  </si>
  <si>
    <t xml:space="preserve">unit</t>
  </si>
  <si>
    <t xml:space="preserve">type</t>
  </si>
  <si>
    <t xml:space="preserve">default</t>
  </si>
  <si>
    <t xml:space="preserve">min</t>
  </si>
  <si>
    <t xml:space="preserve">max</t>
  </si>
  <si>
    <t xml:space="preserve">description</t>
  </si>
  <si>
    <t xml:space="preserve">grade:cu</t>
  </si>
  <si>
    <t xml:space="preserve">grade</t>
  </si>
  <si>
    <t xml:space="preserve">cu</t>
  </si>
  <si>
    <t xml:space="preserve">%</t>
  </si>
  <si>
    <t xml:space="preserve">float</t>
  </si>
  <si>
    <t xml:space="preserve">Copper grade in percent</t>
  </si>
  <si>
    <t xml:space="preserve">grade:au</t>
  </si>
  <si>
    <t xml:space="preserve">au</t>
  </si>
  <si>
    <t xml:space="preserve">g/t</t>
  </si>
  <si>
    <t xml:space="preserve">Gold grade</t>
  </si>
  <si>
    <t xml:space="preserve">grade:as</t>
  </si>
  <si>
    <t xml:space="preserve">as</t>
  </si>
  <si>
    <t xml:space="preserve">ppm</t>
  </si>
  <si>
    <t xml:space="preserve">Arsenic grade</t>
  </si>
  <si>
    <t xml:space="preserve">recovery:cu</t>
  </si>
  <si>
    <t xml:space="preserve">recovery</t>
  </si>
  <si>
    <t xml:space="preserve">Cu recovery</t>
  </si>
  <si>
    <t xml:space="preserve">recovery:as</t>
  </si>
  <si>
    <t xml:space="preserve">penalty:as_threshold</t>
  </si>
  <si>
    <t xml:space="preserve">penalty</t>
  </si>
  <si>
    <t xml:space="preserve">as_threshold</t>
  </si>
  <si>
    <t xml:space="preserve">Arsenic penalty threshold</t>
  </si>
  <si>
    <t xml:space="preserve">penalty:as_rate</t>
  </si>
  <si>
    <t xml:space="preserve">as_rate</t>
  </si>
  <si>
    <t xml:space="preserve">$AUD/t</t>
  </si>
  <si>
    <t xml:space="preserve">Arsenic penalty per tonne</t>
  </si>
  <si>
    <t xml:space="preserve">option:gravity_circuit</t>
  </si>
  <si>
    <t xml:space="preserve">option</t>
  </si>
  <si>
    <t xml:space="preserve">gravity_circuit</t>
  </si>
  <si>
    <t xml:space="preserve">bool</t>
  </si>
  <si>
    <t xml:space="preserve">Enable gravity circuit</t>
  </si>
  <si>
    <t xml:space="preserve">param:gravity_split_fraction</t>
  </si>
  <si>
    <t xml:space="preserve">param</t>
  </si>
  <si>
    <t xml:space="preserve">gravity_split_fraction</t>
  </si>
  <si>
    <t xml:space="preserve">frac</t>
  </si>
  <si>
    <t xml:space="preserve">Fraction of feed to gravity</t>
  </si>
  <si>
    <t xml:space="preserve">param:gravity_recovery_boost_au</t>
  </si>
  <si>
    <t xml:space="preserve">gravity_recovery_boost_au</t>
  </si>
  <si>
    <t xml:space="preserve">Additional Au recovery on split</t>
  </si>
  <si>
    <t xml:space="preserve">param:fleet_rate_multiplier</t>
  </si>
  <si>
    <t xml:space="preserve">fleet_rate_multiplier</t>
  </si>
  <si>
    <t xml:space="preserve">ratio</t>
  </si>
  <si>
    <t xml:space="preserve">Fleet rate multiplier</t>
  </si>
  <si>
    <t xml:space="preserve">price:cu</t>
  </si>
  <si>
    <t xml:space="preserve">price</t>
  </si>
  <si>
    <t xml:space="preserve">Copper price in AUD per tonne</t>
  </si>
  <si>
    <t xml:space="preserve">price:au</t>
  </si>
  <si>
    <t xml:space="preserve">Gold price in AUD per tonne</t>
  </si>
  <si>
    <t xml:space="preserve">id</t>
  </si>
  <si>
    <t xml:space="preserve">kind</t>
  </si>
  <si>
    <t xml:space="preserve">resource</t>
  </si>
  <si>
    <t xml:space="preserve">priority</t>
  </si>
  <si>
    <t xml:space="preserve">metric</t>
  </si>
  <si>
    <t xml:space="preserve">rate</t>
  </si>
  <si>
    <t xml:space="preserve">not_before</t>
  </si>
  <si>
    <t xml:space="preserve">pit</t>
  </si>
  <si>
    <t xml:space="preserve">bench</t>
  </si>
  <si>
    <t xml:space="preserve">ore</t>
  </si>
  <si>
    <t xml:space="preserve">feed_source</t>
  </si>
  <si>
    <t xml:space="preserve">plant_recovery</t>
  </si>
  <si>
    <t xml:space="preserve">recovery:au</t>
  </si>
  <si>
    <t xml:space="preserve">MINE_BLOCK_01</t>
  </si>
  <si>
    <t xml:space="preserve">mining</t>
  </si>
  <si>
    <t xml:space="preserve">FLEET_1</t>
  </si>
  <si>
    <t xml:space="preserve">2025-01-01</t>
  </si>
  <si>
    <t xml:space="preserve">Stg1</t>
  </si>
  <si>
    <t xml:space="preserve">TRUE</t>
  </si>
  <si>
    <t xml:space="preserve">MINE_BLOCK_02</t>
  </si>
  <si>
    <t xml:space="preserve">Stg2</t>
  </si>
  <si>
    <t xml:space="preserve">0.1</t>
  </si>
  <si>
    <t xml:space="preserve">PROCESS_SP1</t>
  </si>
  <si>
    <t xml:space="preserve">processing</t>
  </si>
  <si>
    <t xml:space="preserve">PLANT_1</t>
  </si>
  <si>
    <t xml:space="preserve">STOCKPILE_1</t>
  </si>
  <si>
    <t xml:space="preserve">pred</t>
  </si>
  <si>
    <t xml:space="preserve">succ</t>
  </si>
  <si>
    <t xml:space="preserve">fraction</t>
  </si>
  <si>
    <t xml:space="preserve">min_lag_days</t>
  </si>
  <si>
    <t xml:space="preserve">finish_to_start</t>
  </si>
  <si>
    <t xml:space="preserve">workers</t>
  </si>
  <si>
    <t xml:space="preserve">capacity_json</t>
  </si>
  <si>
    <t xml:space="preserve">mobile_fleet</t>
  </si>
  <si>
    <t xml:space="preserve">{}</t>
  </si>
  <si>
    <t xml:space="preserve">plant</t>
  </si>
  <si>
    <t xml:space="preserve">initial_tonnes</t>
  </si>
  <si>
    <t xml:space="preserve">initial_grade</t>
  </si>
  <si>
    <t xml:space="preserve">max_tonnage</t>
  </si>
  <si>
    <t xml:space="preserve">blending_method</t>
  </si>
  <si>
    <t xml:space="preserve">tonnage_weighted</t>
  </si>
  <si>
    <t xml:space="preserve">date</t>
  </si>
  <si>
    <t xml:space="preserve">price:ag</t>
  </si>
  <si>
    <t xml:space="preserve">element_code</t>
  </si>
  <si>
    <t xml:space="preserve">threshold</t>
  </si>
  <si>
    <t xml:space="preserve">cost_per_tonne</t>
  </si>
  <si>
    <t xml:space="preserve">Arsenic penalty above 200ppm</t>
  </si>
  <si>
    <t xml:space="preserve">value_discount</t>
  </si>
  <si>
    <t xml:space="preserve">Discount if Cu &lt; 20%</t>
  </si>
  <si>
    <t xml:space="preserve">sb</t>
  </si>
  <si>
    <t xml:space="preserve">Antimony penalty</t>
  </si>
  <si>
    <t xml:space="preserve">Sulfur discount</t>
  </si>
  <si>
    <t xml:space="preserve">mining_cost_per_tonne</t>
  </si>
  <si>
    <t xml:space="preserve">processing_cost_per_tonne</t>
  </si>
  <si>
    <t xml:space="preserve">haul_cost_per_tonne_km</t>
  </si>
  <si>
    <t xml:space="preserve">fixed_plant_cost_per_day</t>
  </si>
  <si>
    <t>start</t>
  </si>
  <si>
    <t>end</t>
  </si>
  <si>
    <t>worker</t>
  </si>
  <si>
    <t>2025-01-21</t>
  </si>
  <si>
    <t>2025-02-11</t>
  </si>
  <si>
    <t>2025-02-22</t>
  </si>
  <si>
    <t>stockpile</t>
  </si>
  <si>
    <t>time</t>
  </si>
  <si>
    <t>tonnes</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</si>
  <si>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</si>
  <si>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</si>
  <si>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</si>
  <si>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</si>
  <si>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</si>
  <si>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</si>
  <si>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</si>
  <si>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</si>
  <si>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</si>
  <si>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</si>
  <si>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</si>
  <si>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</si>
  <si>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</si>
  <si>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</si>
  <si>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</si>
  <si>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</si>
  <si>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</si>
  <si>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</si>
  <si>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</si>
  <si>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</si>
  <si>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</si>
  <si>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</si>
  <si>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</si>
  <si>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</si>
  <si>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</si>
  <si>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</si>
  <si>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</si>
  <si>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</si>
  <si>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</si>
  <si>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</si>
  <si>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</si>
  <si>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</si>
  <si>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</si>
  <si>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</si>
  <si>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</si>
  <si>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</si>
  <si>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</si>
  <si>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</si>
  <si>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</si>
  <si>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2025-02-12</t>
  </si>
  <si>
    <t>2025-02-13</t>
  </si>
  <si>
    <t>2025-02-14</t>
  </si>
  <si>
    <t>2025-02-15</t>
  </si>
  <si>
    <t>2025-02-16</t>
  </si>
  <si>
    <t>2025-02-17</t>
  </si>
  <si>
    <t>2025-02-18</t>
  </si>
  <si>
    <t>2025-02-19</t>
  </si>
  <si>
    <t>2025-02-20</t>
  </si>
  <si>
    <t>2025-02-21</t>
  </si>
  <si>
    <t>NPV</t>
  </si>
  <si>
    <t>Undiscounted</t>
  </si>
  <si>
    <t>value</t>
  </si>
  <si>
    <t>busy_hours</t>
  </si>
  <si>
    <t>idle_hours</t>
  </si>
  <si>
    <t>utilization_pct</t>
  </si>
  <si>
    <t>total_penalty_cost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</si>
</sst>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yyyy\-mm\-dd"/>
    <numFmt numFmtId="166" formatCode="&quot;TRUE&quot;;&quot;TRUE&quot;;&quot;FALSE&quot;"/>
    <numFmt numFmtId="167" formatCode="@"/>
  </numFmts>
  <fonts count="5">
    <font>
      <name val="Arial"/>
      <charset val="1"/>
      <family val="2"/>
      <sz val="10"/>
    </font>
    <font>
      <name val="Arial"/>
      <family val="0"/>
      <sz val="10"/>
    </font>
    <font>
      <name val="Arial"/>
      <family val="0"/>
      <sz val="10"/>
    </font>
    <font>
      <name val="Arial"/>
      <family val="0"/>
      <sz val="10"/>
    </font>
    <font>
      <name val="Arial"/>
      <charset val="1"/>
      <family val="2"/>
      <b val="1"/>
      <sz val="10"/>
    </font>
  </fonts>
  <fills count="2">
    <fill>
      <patternFill patternType="none"/>
    </fill>
    <fill>
      <patternFill patternType="gray125"/>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true">
      <alignment horizontal="general" vertical="bottom"/>
      <protection hidden="false" locked="true"/>
    </xf>
    <xf numFmtId="164" fontId="4" fillId="0" borderId="0" xfId="0" applyFont="true" applyBorder="false" applyAlignment="true" applyProtection="true">
      <alignment horizontal="general" vertical="bottom"/>
      <protection hidden="false" locked="true"/>
    </xf>
    <xf numFmtId="165" fontId="0" fillId="0" borderId="0" xfId="0" applyFont="false" applyBorder="false" applyAlignment="true" applyProtection="true">
      <alignment horizontal="general" vertical="bottom"/>
      <protection hidden="false" locked="true"/>
    </xf>
    <xf numFmtId="166" fontId="0" fillId="0" borderId="0" xfId="0" applyFont="false" applyBorder="false" applyAlignment="true" applyProtection="true">
      <alignment horizontal="general" vertical="bottom"/>
      <protection hidden="false" locked="true"/>
    </xf>
    <xf numFmtId="164" fontId="0" fillId="0" borderId="0" xfId="0" applyFont="true" applyBorder="false" applyAlignment="true" applyProtection="true">
      <alignment horizontal="general" vertical="bottom"/>
      <protection hidden="false" locked="true"/>
    </xf>
    <xf numFmtId="164" fontId="0" fillId="0" borderId="0" xfId="0" applyFont="true" applyBorder="false" applyAlignment="true" applyProtection="true">
      <alignment horizontal="general" vertical="bottom" wrapText="true"/>
      <protection hidden="false" locked="true"/>
    </xf>
    <xf numFmtId="167" fontId="0" fillId="0" borderId="0" xfId="0" applyFont="true" applyBorder="false" applyAlignment="true" applyProtection="true">
      <alignment horizontal="general" vertical="bottom" wrapText="true"/>
      <protection hidden="false" locked="true"/>
    </xf>
    <xf numFmtId="164" fontId="0" fillId="0" borderId="0" xfId="0" applyFont="true" applyBorder="false" applyAlignment="true" applyProtection="true">
      <alignment horizontal="left" vertical="bottom" wrapText="true"/>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worksheets/sheet8.xml" Type="http://schemas.openxmlformats.org/officeDocument/2006/relationships/worksheet"></Relationship><Relationship Id="rId11" Target="worksheets/sheet9.xml" Type="http://schemas.openxmlformats.org/officeDocument/2006/relationships/worksheet"></Relationship><Relationship Id="rId12" Target="/xl/sharedStrings.xml" Type="http://schemas.openxmlformats.org/officeDocument/2006/relationships/sharedStrings"></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a:ea typeface="DejaVu Sans" pitchFamily="0"/>
        <a:cs typeface="DejaVu Sans" pitchFamily="0"/>
      </a:majorFont>
      <a:minorFont>
        <a:latin typeface="Arial" pitchFamily="0"/>
        <a:ea typeface="DejaVu Sans" pitchFamily="0"/>
        <a:cs typeface="DejaVu Sans" pitchFamily="0"/>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7.76"/>
    <col collapsed="false" customWidth="true" hidden="false" outlineLevel="0" max="2" min="2" style="1" width="13.52"/>
  </cols>
  <sheetData>
    <row r="1" customFormat="false" ht="12.8" hidden="false" customHeight="false" outlineLevel="0" collapsed="false">
      <c r="A1" s="2" t="s">
        <v>0</v>
      </c>
      <c r="B1" s="2" t="s">
        <v>1</v>
      </c>
    </row>
    <row r="2" customFormat="false" ht="12.8" hidden="false" customHeight="true" outlineLevel="0" collapsed="false">
      <c r="A2" s="3" t="n">
        <v>45658</v>
      </c>
      <c r="B2" s="1" t="n">
        <v>0.094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1.53515625" defaultRowHeight="12.8" customHeight="true" zeroHeight="false" outlineLevelRow="0" outlineLevelCol="0"/>
  <cols>
    <col collapsed="false" customWidth="true" hidden="false" outlineLevel="0" max="1" min="1" style="1" width="29.32"/>
    <col collapsed="false" customWidth="true" hidden="false" outlineLevel="0" max="3" min="3" style="1" width="23.72"/>
    <col collapsed="false" customWidth="true" hidden="false" outlineLevel="0" max="9" min="9" style="1" width="26.19"/>
  </cols>
  <sheetData>
    <row r="1" customFormat="false" ht="12.8" hidden="false" customHeight="false" outlineLevel="0" collapsed="false">
      <c r="A1" s="2" t="s">
        <v>2</v>
      </c>
      <c r="B1" s="2" t="s">
        <v>3</v>
      </c>
      <c r="C1" s="2" t="s">
        <v>4</v>
      </c>
      <c r="D1" s="2" t="s">
        <v>5</v>
      </c>
      <c r="E1" s="2" t="s">
        <v>6</v>
      </c>
      <c r="F1" s="2" t="s">
        <v>7</v>
      </c>
      <c r="G1" s="2" t="s">
        <v>8</v>
      </c>
      <c r="H1" s="2" t="s">
        <v>9</v>
      </c>
      <c r="I1" s="2" t="s">
        <v>10</v>
      </c>
    </row>
    <row r="2" customFormat="false" ht="12.8" hidden="false" customHeight="false" outlineLevel="0" collapsed="false">
      <c r="A2" s="1" t="s">
        <v>11</v>
      </c>
      <c r="B2" s="1" t="s">
        <v>12</v>
      </c>
      <c r="C2" s="1" t="s">
        <v>13</v>
      </c>
      <c r="D2" s="1" t="s">
        <v>14</v>
      </c>
      <c r="E2" s="1" t="s">
        <v>15</v>
      </c>
      <c r="F2" s="1" t="n">
        <v>1.32</v>
      </c>
      <c r="G2" s="1" t="n">
        <v>0</v>
      </c>
      <c r="H2" s="1" t="n">
        <v>100</v>
      </c>
      <c r="I2" s="1" t="s">
        <v>16</v>
      </c>
    </row>
    <row r="3" customFormat="false" ht="12.8" hidden="false" customHeight="false" outlineLevel="0" collapsed="false">
      <c r="A3" s="1" t="s">
        <v>17</v>
      </c>
      <c r="B3" s="1" t="s">
        <v>12</v>
      </c>
      <c r="C3" s="1" t="s">
        <v>18</v>
      </c>
      <c r="D3" s="1" t="s">
        <v>19</v>
      </c>
      <c r="E3" s="1" t="s">
        <v>15</v>
      </c>
      <c r="F3" s="1" t="n">
        <v>0.5</v>
      </c>
      <c r="G3" s="1" t="n">
        <v>0</v>
      </c>
      <c r="H3" s="1" t="n">
        <v>100</v>
      </c>
      <c r="I3" s="1" t="s">
        <v>20</v>
      </c>
    </row>
    <row r="4" customFormat="false" ht="12.8" hidden="false" customHeight="false" outlineLevel="0" collapsed="false">
      <c r="A4" s="1" t="s">
        <v>21</v>
      </c>
      <c r="B4" s="1" t="s">
        <v>12</v>
      </c>
      <c r="C4" s="1" t="s">
        <v>22</v>
      </c>
      <c r="D4" s="1" t="s">
        <v>23</v>
      </c>
      <c r="E4" s="1" t="s">
        <v>15</v>
      </c>
      <c r="F4" s="1" t="n">
        <v>320</v>
      </c>
      <c r="G4" s="1" t="n">
        <v>54</v>
      </c>
      <c r="H4" s="1" t="n">
        <v>780</v>
      </c>
      <c r="I4" s="1" t="s">
        <v>24</v>
      </c>
    </row>
    <row r="5" customFormat="false" ht="12.8" hidden="false" customHeight="false" outlineLevel="0" collapsed="false">
      <c r="A5" s="1" t="s">
        <v>25</v>
      </c>
      <c r="B5" s="1" t="s">
        <v>26</v>
      </c>
      <c r="C5" s="1" t="s">
        <v>13</v>
      </c>
      <c r="D5" s="1" t="s">
        <v>14</v>
      </c>
      <c r="E5" s="1" t="s">
        <v>15</v>
      </c>
      <c r="F5" s="1" t="n">
        <v>0.9</v>
      </c>
      <c r="G5" s="1" t="n">
        <v>0.67</v>
      </c>
      <c r="H5" s="1" t="n">
        <v>0.97</v>
      </c>
      <c r="I5" s="1" t="s">
        <v>27</v>
      </c>
    </row>
    <row r="6" customFormat="false" ht="12.8" hidden="false" customHeight="false" outlineLevel="0" collapsed="false">
      <c r="A6" s="1" t="s">
        <v>28</v>
      </c>
      <c r="B6" s="1" t="s">
        <v>26</v>
      </c>
      <c r="C6" s="1" t="s">
        <v>22</v>
      </c>
      <c r="D6" s="1" t="s">
        <v>14</v>
      </c>
      <c r="E6" s="1" t="s">
        <v>15</v>
      </c>
      <c r="F6" s="1" t="n">
        <v>0.65</v>
      </c>
      <c r="G6" s="1" t="n">
        <v>0.45</v>
      </c>
      <c r="H6" s="1" t="n">
        <v>0.98</v>
      </c>
    </row>
    <row r="7" customFormat="false" ht="12.8" hidden="false" customHeight="false" outlineLevel="0" collapsed="false">
      <c r="A7" s="1" t="s">
        <v>29</v>
      </c>
      <c r="B7" s="1" t="s">
        <v>30</v>
      </c>
      <c r="C7" s="1" t="s">
        <v>31</v>
      </c>
      <c r="D7" s="1" t="s">
        <v>23</v>
      </c>
      <c r="E7" s="1" t="s">
        <v>15</v>
      </c>
      <c r="F7" s="1" t="n">
        <v>200</v>
      </c>
      <c r="G7" s="1" t="n">
        <v>50</v>
      </c>
      <c r="H7" s="1" t="n">
        <v>10000</v>
      </c>
      <c r="I7" s="1" t="s">
        <v>32</v>
      </c>
    </row>
    <row r="8" customFormat="false" ht="12.8" hidden="false" customHeight="false" outlineLevel="0" collapsed="false">
      <c r="A8" s="1" t="s">
        <v>33</v>
      </c>
      <c r="B8" s="1" t="s">
        <v>30</v>
      </c>
      <c r="C8" s="1" t="s">
        <v>34</v>
      </c>
      <c r="D8" s="1" t="s">
        <v>35</v>
      </c>
      <c r="E8" s="1" t="s">
        <v>15</v>
      </c>
      <c r="F8" s="1" t="n">
        <v>48</v>
      </c>
      <c r="G8" s="1" t="n">
        <v>23</v>
      </c>
      <c r="H8" s="1" t="n">
        <v>1000</v>
      </c>
      <c r="I8" s="1" t="s">
        <v>36</v>
      </c>
    </row>
    <row r="9" customFormat="false" ht="12.8" hidden="false" customHeight="false" outlineLevel="0" collapsed="false">
      <c r="A9" s="1" t="s">
        <v>37</v>
      </c>
      <c r="B9" s="1" t="s">
        <v>38</v>
      </c>
      <c r="C9" s="1" t="s">
        <v>39</v>
      </c>
      <c r="D9" s="1" t="s">
        <v>40</v>
      </c>
      <c r="E9" s="1" t="s">
        <v>40</v>
      </c>
      <c r="F9" s="4" t="n">
        <f aca="false">FALSE()</f>
        <v>0</v>
      </c>
      <c r="G9" s="1" t="n">
        <v>0</v>
      </c>
      <c r="I9" s="1" t="s">
        <v>41</v>
      </c>
    </row>
    <row r="10" customFormat="false" ht="12.8" hidden="false" customHeight="false" outlineLevel="0" collapsed="false">
      <c r="A10" s="1" t="s">
        <v>42</v>
      </c>
      <c r="B10" s="1" t="s">
        <v>43</v>
      </c>
      <c r="C10" s="5" t="s">
        <v>44</v>
      </c>
      <c r="D10" s="1" t="s">
        <v>45</v>
      </c>
      <c r="E10" s="1" t="s">
        <v>15</v>
      </c>
      <c r="F10" s="1" t="n">
        <v>0.1</v>
      </c>
      <c r="G10" s="1" t="n">
        <v>0</v>
      </c>
      <c r="H10" s="1" t="n">
        <v>0.5</v>
      </c>
      <c r="I10" s="1" t="s">
        <v>46</v>
      </c>
    </row>
    <row r="11" customFormat="false" ht="12.8" hidden="false" customHeight="false" outlineLevel="0" collapsed="false">
      <c r="A11" s="1" t="s">
        <v>47</v>
      </c>
      <c r="B11" s="1" t="s">
        <v>43</v>
      </c>
      <c r="C11" s="5" t="s">
        <v>48</v>
      </c>
      <c r="D11" s="1" t="s">
        <v>45</v>
      </c>
      <c r="E11" s="1" t="s">
        <v>15</v>
      </c>
      <c r="F11" s="1" t="n">
        <v>0.1</v>
      </c>
      <c r="G11" s="1" t="n">
        <v>0</v>
      </c>
      <c r="H11" s="1" t="n">
        <v>0.5</v>
      </c>
      <c r="I11" s="1" t="s">
        <v>49</v>
      </c>
    </row>
    <row r="12" customFormat="false" ht="12.8" hidden="false" customHeight="false" outlineLevel="0" collapsed="false">
      <c r="A12" s="1" t="s">
        <v>50</v>
      </c>
      <c r="B12" s="1" t="s">
        <v>43</v>
      </c>
      <c r="C12" s="1" t="s">
        <v>51</v>
      </c>
      <c r="D12" s="1" t="s">
        <v>52</v>
      </c>
      <c r="E12" s="1" t="s">
        <v>15</v>
      </c>
      <c r="F12" s="1" t="n">
        <v>0.93</v>
      </c>
      <c r="G12" s="1" t="n">
        <v>0.5</v>
      </c>
      <c r="H12" s="1" t="n">
        <v>2</v>
      </c>
      <c r="I12" s="1" t="s">
        <v>53</v>
      </c>
    </row>
    <row r="13" customFormat="false" ht="12.8" hidden="false" customHeight="false" outlineLevel="0" collapsed="false">
      <c r="A13" s="1" t="s">
        <v>54</v>
      </c>
      <c r="B13" s="1" t="s">
        <v>55</v>
      </c>
      <c r="C13" s="1" t="s">
        <v>13</v>
      </c>
      <c r="D13" s="1" t="s">
        <v>35</v>
      </c>
      <c r="E13" s="1" t="s">
        <v>15</v>
      </c>
      <c r="F13" s="1" t="n">
        <v>1750</v>
      </c>
      <c r="G13" s="6" t="n">
        <v>1500</v>
      </c>
      <c r="H13" s="1" t="n">
        <v>2200</v>
      </c>
      <c r="I13" s="1" t="s">
        <v>56</v>
      </c>
    </row>
    <row r="14" customFormat="false" ht="12.8" hidden="false" customHeight="true" outlineLevel="0" collapsed="false">
      <c r="A14" s="1" t="s">
        <v>57</v>
      </c>
      <c r="B14" s="1" t="s">
        <v>55</v>
      </c>
      <c r="C14" s="1" t="s">
        <v>18</v>
      </c>
      <c r="D14" s="1" t="s">
        <v>35</v>
      </c>
      <c r="E14" s="1" t="s">
        <v>15</v>
      </c>
      <c r="F14" s="1" t="n">
        <v>4300</v>
      </c>
      <c r="G14" s="1" t="n">
        <v>3600</v>
      </c>
      <c r="H14" s="1" t="n">
        <v>5200</v>
      </c>
      <c r="I14" s="1" t="s">
        <v>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8.1"/>
    <col collapsed="false" customWidth="true" hidden="false" outlineLevel="0" max="11" min="11" style="1" width="12.37"/>
    <col collapsed="false" customWidth="true" hidden="false" outlineLevel="0" max="12" min="12" style="1" width="14.52"/>
    <col collapsed="false" customWidth="true" hidden="false" outlineLevel="0" max="19" min="19" style="1" width="20.43"/>
    <col collapsed="false" customWidth="true" hidden="false" outlineLevel="0" max="20" min="20" style="1" width="26.19"/>
    <col collapsed="false" customWidth="true" hidden="false" outlineLevel="0" max="21" min="21" style="1" width="31.3"/>
  </cols>
  <sheetData>
    <row r="1" customFormat="false" ht="12.8" hidden="false" customHeight="false" outlineLevel="0" collapsed="false">
      <c r="A1" s="2" t="s">
        <v>59</v>
      </c>
      <c r="B1" s="2" t="s">
        <v>60</v>
      </c>
      <c r="C1" s="2" t="s">
        <v>61</v>
      </c>
      <c r="D1" s="2" t="s">
        <v>62</v>
      </c>
      <c r="E1" s="2" t="s">
        <v>63</v>
      </c>
      <c r="F1" s="2" t="s">
        <v>64</v>
      </c>
      <c r="G1" s="2" t="s">
        <v>65</v>
      </c>
      <c r="H1" s="2" t="s">
        <v>66</v>
      </c>
      <c r="I1" s="2" t="s">
        <v>67</v>
      </c>
      <c r="J1" s="2" t="s">
        <v>68</v>
      </c>
      <c r="K1" s="2" t="s">
        <v>69</v>
      </c>
      <c r="L1" s="2" t="s">
        <v>70</v>
      </c>
      <c r="M1" s="2" t="s">
        <v>17</v>
      </c>
      <c r="N1" s="2" t="s">
        <v>11</v>
      </c>
      <c r="O1" s="2" t="s">
        <v>21</v>
      </c>
      <c r="P1" s="2" t="s">
        <v>71</v>
      </c>
      <c r="Q1" s="2" t="s">
        <v>25</v>
      </c>
      <c r="R1" s="2" t="s">
        <v>28</v>
      </c>
      <c r="S1" s="2" t="s">
        <v>37</v>
      </c>
      <c r="T1" s="2" t="s">
        <v>42</v>
      </c>
      <c r="U1" s="2" t="s">
        <v>47</v>
      </c>
    </row>
    <row r="2" customFormat="false" ht="12.8" hidden="false" customHeight="true" outlineLevel="0" collapsed="false">
      <c r="A2" s="6" t="s">
        <v>72</v>
      </c>
      <c r="B2" s="6" t="s">
        <v>73</v>
      </c>
      <c r="C2" s="6" t="s">
        <v>74</v>
      </c>
      <c r="D2" s="6" t="n">
        <v>1</v>
      </c>
      <c r="E2" s="6" t="n">
        <v>100000</v>
      </c>
      <c r="F2" s="6" t="n">
        <v>5000</v>
      </c>
      <c r="G2" s="7" t="s">
        <v>75</v>
      </c>
      <c r="H2" s="6" t="s">
        <v>76</v>
      </c>
      <c r="I2" s="6" t="n">
        <v>1000</v>
      </c>
      <c r="J2" s="7" t="s">
        <v>77</v>
      </c>
      <c r="K2" s="7"/>
      <c r="L2" s="5"/>
      <c r="M2" s="6" t="n">
        <v>1.5</v>
      </c>
      <c r="N2" s="6" t="n">
        <v>0.25</v>
      </c>
      <c r="O2" s="6" t="n">
        <v>263</v>
      </c>
      <c r="P2" s="6" t="n">
        <v>0.91</v>
      </c>
      <c r="Q2" s="6" t="n">
        <v>0.83</v>
      </c>
      <c r="R2" s="6" t="n">
        <v>0.9</v>
      </c>
      <c r="S2" s="7"/>
      <c r="T2" s="7"/>
      <c r="U2" s="7"/>
    </row>
    <row r="3" customFormat="false" ht="12.8" hidden="false" customHeight="true" outlineLevel="0" collapsed="false">
      <c r="A3" s="6" t="s">
        <v>78</v>
      </c>
      <c r="B3" s="6" t="s">
        <v>73</v>
      </c>
      <c r="C3" s="6" t="s">
        <v>74</v>
      </c>
      <c r="D3" s="6" t="n">
        <v>1</v>
      </c>
      <c r="E3" s="6" t="n">
        <v>87500</v>
      </c>
      <c r="F3" s="6" t="n">
        <v>4300</v>
      </c>
      <c r="G3" s="7" t="s">
        <v>75</v>
      </c>
      <c r="H3" s="6" t="s">
        <v>79</v>
      </c>
      <c r="I3" s="6" t="n">
        <v>1100</v>
      </c>
      <c r="J3" s="7" t="s">
        <v>77</v>
      </c>
      <c r="K3" s="7"/>
      <c r="M3" s="6" t="n">
        <v>1.34</v>
      </c>
      <c r="N3" s="6" t="n">
        <v>0.5</v>
      </c>
      <c r="O3" s="6" t="n">
        <v>480</v>
      </c>
      <c r="P3" s="6" t="n">
        <v>0.87</v>
      </c>
      <c r="Q3" s="6" t="n">
        <v>0.85</v>
      </c>
      <c r="R3" s="6" t="n">
        <v>0.9</v>
      </c>
      <c r="S3" s="7" t="s">
        <v>77</v>
      </c>
      <c r="T3" s="7" t="s">
        <v>80</v>
      </c>
      <c r="U3" s="7" t="s">
        <v>80</v>
      </c>
    </row>
    <row r="4" customFormat="false" ht="12.8" hidden="false" customHeight="true" outlineLevel="0" collapsed="false">
      <c r="A4" s="6" t="s">
        <v>81</v>
      </c>
      <c r="B4" s="6" t="s">
        <v>82</v>
      </c>
      <c r="C4" s="6" t="s">
        <v>83</v>
      </c>
      <c r="D4" s="6" t="n">
        <v>10</v>
      </c>
      <c r="E4" s="6" t="n">
        <v>80000</v>
      </c>
      <c r="F4" s="6" t="n">
        <v>2500</v>
      </c>
      <c r="G4" s="7" t="s">
        <v>75</v>
      </c>
      <c r="K4" s="8" t="s">
        <v>84</v>
      </c>
      <c r="L4" s="6" t="n">
        <v>0.9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53515625" defaultRowHeight="12.8" customHeight="true" zeroHeight="false" outlineLevelRow="0" outlineLevelCol="0"/>
  <cols>
    <col collapsed="false" customWidth="true" hidden="false" outlineLevel="0" max="1" min="1" style="1" width="17.44"/>
    <col collapsed="false" customWidth="true" hidden="false" outlineLevel="0" max="2" min="2" style="1" width="18.1"/>
    <col collapsed="false" customWidth="true" hidden="false" outlineLevel="0" max="3" min="3" style="1" width="17.61"/>
    <col collapsed="false" customWidth="true" hidden="false" outlineLevel="0" max="5" min="5" style="1" width="13.68"/>
  </cols>
  <sheetData>
    <row r="1" customFormat="false" ht="12.8" hidden="false" customHeight="false" outlineLevel="0" collapsed="false">
      <c r="A1" s="2" t="s">
        <v>85</v>
      </c>
      <c r="B1" s="2" t="s">
        <v>86</v>
      </c>
      <c r="C1" s="2" t="s">
        <v>60</v>
      </c>
      <c r="D1" s="2" t="s">
        <v>87</v>
      </c>
      <c r="E1" s="2" t="s">
        <v>88</v>
      </c>
    </row>
    <row r="2" customFormat="false" ht="12.8" hidden="false" customHeight="true" outlineLevel="0" collapsed="false">
      <c r="A2" s="6" t="s">
        <v>72</v>
      </c>
      <c r="B2" s="6" t="s">
        <v>81</v>
      </c>
      <c r="C2" s="6" t="s">
        <v>89</v>
      </c>
      <c r="D2" s="5"/>
      <c r="E2" s="6" t="n">
        <v>0</v>
      </c>
    </row>
    <row r="3" customFormat="false" ht="12.8" hidden="false" customHeight="true" outlineLevel="0" collapsed="false">
      <c r="A3" s="6" t="s">
        <v>72</v>
      </c>
      <c r="B3" s="6" t="s">
        <v>78</v>
      </c>
      <c r="C3" s="6" t="s">
        <v>89</v>
      </c>
      <c r="D3" s="6"/>
      <c r="E3" s="6"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53515625" defaultRowHeight="12.8" customHeight="true" zeroHeight="false" outlineLevelRow="0" outlineLevelCol="0"/>
  <cols>
    <col collapsed="false" customWidth="true" hidden="false" outlineLevel="0" max="4" min="4" style="1" width="13.68"/>
  </cols>
  <sheetData>
    <row r="1" customFormat="false" ht="12.8" hidden="false" customHeight="false" outlineLevel="0" collapsed="false">
      <c r="A1" s="2" t="s">
        <v>59</v>
      </c>
      <c r="B1" s="2" t="s">
        <v>6</v>
      </c>
      <c r="C1" s="2" t="s">
        <v>90</v>
      </c>
      <c r="D1" s="2" t="s">
        <v>91</v>
      </c>
    </row>
    <row r="2" customFormat="false" ht="12.8" hidden="false" customHeight="true" outlineLevel="0" collapsed="false">
      <c r="A2" s="6" t="s">
        <v>74</v>
      </c>
      <c r="B2" s="6" t="s">
        <v>92</v>
      </c>
      <c r="C2" s="6" t="n">
        <v>1</v>
      </c>
      <c r="D2" s="6" t="s">
        <v>93</v>
      </c>
    </row>
    <row r="3" customFormat="false" ht="12.8" hidden="false" customHeight="true" outlineLevel="0" collapsed="false">
      <c r="A3" s="6" t="s">
        <v>83</v>
      </c>
      <c r="B3" s="6" t="s">
        <v>94</v>
      </c>
      <c r="C3" s="6" t="n">
        <v>1</v>
      </c>
      <c r="D3" s="6" t="s">
        <v>93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true" zeroHeight="false" outlineLevelRow="0" outlineLevelCol="0"/>
  <cols>
    <col collapsed="false" customWidth="true" hidden="false" outlineLevel="0" max="1" min="1" style="1" width="15.13"/>
    <col collapsed="false" customWidth="true" hidden="false" outlineLevel="0" max="2" min="2" style="1" width="13.52"/>
    <col collapsed="false" customWidth="true" hidden="false" outlineLevel="0" max="3" min="3" style="1" width="12.37"/>
    <col collapsed="false" customWidth="true" hidden="false" outlineLevel="0" max="4" min="4" style="1" width="13.52"/>
    <col collapsed="false" customWidth="true" hidden="false" outlineLevel="0" max="5" min="5" style="1" width="17.15"/>
  </cols>
  <sheetData>
    <row r="1" customFormat="false" ht="12.8" hidden="false" customHeight="false" outlineLevel="0" collapsed="false">
      <c r="A1" s="2" t="s">
        <v>59</v>
      </c>
      <c r="B1" s="2" t="s">
        <v>95</v>
      </c>
      <c r="C1" s="2" t="s">
        <v>96</v>
      </c>
      <c r="D1" s="2" t="s">
        <v>97</v>
      </c>
      <c r="E1" s="2" t="s">
        <v>98</v>
      </c>
    </row>
    <row r="2" customFormat="false" ht="12.8" hidden="false" customHeight="true" outlineLevel="0" collapsed="false">
      <c r="A2" s="6" t="s">
        <v>84</v>
      </c>
      <c r="B2" s="6" t="n">
        <v>0</v>
      </c>
      <c r="C2" s="5"/>
      <c r="D2" s="5" t="n">
        <v>45300</v>
      </c>
      <c r="E2" s="6" t="s">
        <v>99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2.8" hidden="false" customHeight="false" outlineLevel="0" collapsed="false">
      <c r="A1" s="2" t="s">
        <v>100</v>
      </c>
      <c r="B1" s="2" t="s">
        <v>54</v>
      </c>
      <c r="C1" s="2" t="s">
        <v>57</v>
      </c>
      <c r="D1" s="2" t="s">
        <v>101</v>
      </c>
    </row>
    <row r="2" customFormat="false" ht="12.8" hidden="false" customHeight="false" outlineLevel="0" collapsed="false">
      <c r="A2" s="7" t="s">
        <v>75</v>
      </c>
      <c r="B2" s="6" t="n">
        <v>1750</v>
      </c>
      <c r="C2" s="1" t="n">
        <v>4300</v>
      </c>
      <c r="D2" s="1" t="n">
        <v>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3.85"/>
    <col collapsed="false" customWidth="true" hidden="false" outlineLevel="0" max="3" min="3" style="1" width="14.18"/>
    <col collapsed="false" customWidth="true" hidden="false" outlineLevel="0" max="6" min="6" style="1" width="26.36"/>
  </cols>
  <sheetData>
    <row r="1" customFormat="false" ht="12.8" hidden="false" customHeight="false" outlineLevel="0" collapsed="false">
      <c r="A1" s="2" t="s">
        <v>102</v>
      </c>
      <c r="B1" s="2" t="s">
        <v>5</v>
      </c>
      <c r="C1" s="2" t="s">
        <v>6</v>
      </c>
      <c r="D1" s="2" t="s">
        <v>103</v>
      </c>
      <c r="E1" s="2" t="s">
        <v>64</v>
      </c>
      <c r="F1" s="2" t="s">
        <v>10</v>
      </c>
    </row>
    <row r="2" customFormat="false" ht="12.8" hidden="false" customHeight="false" outlineLevel="0" collapsed="false">
      <c r="A2" s="1" t="s">
        <v>22</v>
      </c>
      <c r="B2" s="1" t="s">
        <v>23</v>
      </c>
      <c r="C2" s="1" t="s">
        <v>104</v>
      </c>
      <c r="D2" s="1" t="n">
        <v>200</v>
      </c>
      <c r="E2" s="1" t="n">
        <v>50</v>
      </c>
      <c r="F2" s="1" t="s">
        <v>105</v>
      </c>
    </row>
    <row r="3" customFormat="false" ht="12.8" hidden="false" customHeight="false" outlineLevel="0" collapsed="false">
      <c r="A3" s="1" t="s">
        <v>13</v>
      </c>
      <c r="B3" s="1" t="s">
        <v>14</v>
      </c>
      <c r="C3" s="1" t="s">
        <v>106</v>
      </c>
      <c r="D3" s="1" t="n">
        <v>20</v>
      </c>
      <c r="E3" s="1" t="n">
        <v>0.05</v>
      </c>
      <c r="F3" s="1" t="s">
        <v>107</v>
      </c>
    </row>
    <row r="4" customFormat="false" ht="12.8" hidden="false" customHeight="false" outlineLevel="0" collapsed="false">
      <c r="A4" s="1" t="s">
        <v>108</v>
      </c>
      <c r="B4" s="1" t="s">
        <v>23</v>
      </c>
      <c r="C4" s="1" t="s">
        <v>104</v>
      </c>
      <c r="D4" s="1" t="n">
        <v>500</v>
      </c>
      <c r="E4" s="1" t="n">
        <v>30</v>
      </c>
      <c r="F4" s="1" t="s">
        <v>109</v>
      </c>
    </row>
    <row r="5" customFormat="false" ht="12.8" hidden="false" customHeight="false" outlineLevel="0" collapsed="false">
      <c r="A5" s="1" t="s">
        <v>108</v>
      </c>
      <c r="B5" s="1" t="s">
        <v>14</v>
      </c>
      <c r="C5" s="1" t="s">
        <v>106</v>
      </c>
      <c r="D5" s="1" t="n">
        <v>1.5</v>
      </c>
      <c r="E5" s="1" t="n">
        <v>0.02</v>
      </c>
      <c r="F5" s="1" t="s">
        <v>110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customHeight="true" zeroHeight="false" outlineLevelRow="0" outlineLevelCol="0"/>
  <cols>
    <col collapsed="false" customWidth="true" hidden="false" outlineLevel="0" max="1" min="1" style="1" width="22.42"/>
    <col collapsed="false" customWidth="true" hidden="false" outlineLevel="0" max="2" min="2" style="1" width="26.03"/>
    <col collapsed="false" customWidth="true" hidden="false" outlineLevel="0" max="3" min="3" style="1" width="23.72"/>
    <col collapsed="false" customWidth="true" hidden="false" outlineLevel="0" max="4" min="4" style="1" width="24.02"/>
  </cols>
  <sheetData>
    <row r="1" customFormat="false" ht="12.8" hidden="false" customHeight="false" outlineLevel="0" collapsed="false">
      <c r="A1" s="2" t="s">
        <v>111</v>
      </c>
      <c r="B1" s="2" t="s">
        <v>112</v>
      </c>
      <c r="C1" s="2" t="s">
        <v>113</v>
      </c>
      <c r="D1" s="2" t="s">
        <v>114</v>
      </c>
    </row>
    <row r="2" customFormat="false" ht="12.8" hidden="false" customHeight="true" outlineLevel="0" collapsed="false">
      <c r="A2" s="6" t="n">
        <v>2.1</v>
      </c>
      <c r="B2" s="6" t="n">
        <v>6.5</v>
      </c>
      <c r="C2" s="6" t="n">
        <v>0.15</v>
      </c>
      <c r="D2" s="6" t="n">
        <v>50000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dimension ref="A1"/>
  <sheetViews>
    <sheetView workbookViewId="0"/>
  </sheetViews>
  <sheetData>
    <row r="1">
      <c r="A1" t="s">
        <v>59</v>
      </c>
      <c r="B1" t="s">
        <v>61</v>
      </c>
      <c r="C1" t="s">
        <v>115</v>
      </c>
      <c r="D1" t="s">
        <v>116</v>
      </c>
      <c r="E1" t="s">
        <v>63</v>
      </c>
      <c r="F1" t="s">
        <v>117</v>
      </c>
    </row>
    <row r="2">
      <c r="A2" t="s">
        <v>72</v>
      </c>
      <c r="B2" t="s">
        <v>74</v>
      </c>
      <c r="C2" t="s">
        <v>75</v>
      </c>
      <c r="D2" t="s">
        <v>118</v>
      </c>
      <c r="E2">
        <v>100000</v>
      </c>
      <c r="F2">
        <v>0</v>
      </c>
    </row>
    <row r="3">
      <c r="A3" t="s">
        <v>78</v>
      </c>
      <c r="B3" t="s">
        <v>74</v>
      </c>
      <c r="C3" t="s">
        <v>118</v>
      </c>
      <c r="D3" t="s">
        <v>119</v>
      </c>
      <c r="E3">
        <v>87500</v>
      </c>
      <c r="F3">
        <v>0</v>
      </c>
    </row>
    <row r="4">
      <c r="A4" t="s">
        <v>81</v>
      </c>
      <c r="B4" t="s">
        <v>83</v>
      </c>
      <c r="C4" t="s">
        <v>118</v>
      </c>
      <c r="D4" t="s">
        <v>120</v>
      </c>
      <c r="E4">
        <v>80000</v>
      </c>
      <c r="F4">
        <v>0</v>
      </c>
    </row>
  </sheetData>
</worksheet>
</file>

<file path=xl/worksheets/sheet11.xml><?xml version="1.0" encoding="utf-8"?>
<worksheet xmlns="http://schemas.openxmlformats.org/spreadsheetml/2006/main">
  <dimension ref="A1"/>
  <sheetViews>
    <sheetView workbookViewId="0"/>
  </sheetViews>
  <sheetData>
    <row r="1">
      <c r="A1" t="s">
        <v>121</v>
      </c>
      <c r="B1" t="s">
        <v>122</v>
      </c>
      <c r="C1" t="s">
        <v>123</v>
      </c>
      <c r="D1" t="s">
        <v>102</v>
      </c>
      <c r="E1" t="s">
        <v>12</v>
      </c>
    </row>
    <row r="2">
      <c r="A2" t="s">
        <v>84</v>
      </c>
      <c r="B2" t="s">
        <v>75</v>
      </c>
      <c r="C2">
        <v>5000</v>
      </c>
      <c r="D2" t="s">
        <v>22</v>
      </c>
      <c r="E2">
        <v>263</v>
      </c>
    </row>
    <row r="3">
      <c r="A3" t="s">
        <v>84</v>
      </c>
      <c r="B3" t="s">
        <v>75</v>
      </c>
      <c r="C3">
        <v>5000</v>
      </c>
      <c r="D3" t="s">
        <v>18</v>
      </c>
      <c r="E3">
        <v>1.5</v>
      </c>
    </row>
    <row r="4">
      <c r="A4" t="s">
        <v>84</v>
      </c>
      <c r="B4" t="s">
        <v>75</v>
      </c>
      <c r="C4">
        <v>5000</v>
      </c>
      <c r="D4" t="s">
        <v>13</v>
      </c>
      <c r="E4">
        <v>0.25</v>
      </c>
    </row>
    <row r="5">
      <c r="A5" t="s">
        <v>84</v>
      </c>
      <c r="B5" t="s">
        <v>124</v>
      </c>
      <c r="C5">
        <v>10000</v>
      </c>
      <c r="D5" t="s">
        <v>13</v>
      </c>
      <c r="E5">
        <v>0.25</v>
      </c>
    </row>
    <row r="6">
      <c r="A6" t="s">
        <v>84</v>
      </c>
      <c r="B6" t="s">
        <v>124</v>
      </c>
      <c r="C6">
        <v>10000</v>
      </c>
      <c r="D6" t="s">
        <v>22</v>
      </c>
      <c r="E6">
        <v>263</v>
      </c>
    </row>
    <row r="7">
      <c r="A7" t="s">
        <v>84</v>
      </c>
      <c r="B7" t="s">
        <v>124</v>
      </c>
      <c r="C7">
        <v>10000</v>
      </c>
      <c r="D7" t="s">
        <v>18</v>
      </c>
      <c r="E7">
        <v>1.5</v>
      </c>
    </row>
    <row r="8">
      <c r="A8" t="s">
        <v>84</v>
      </c>
      <c r="B8" t="s">
        <v>125</v>
      </c>
      <c r="C8">
        <v>15000</v>
      </c>
      <c r="D8" t="s">
        <v>18</v>
      </c>
      <c r="E8">
        <v>1.5</v>
      </c>
    </row>
    <row r="9">
      <c r="A9" t="s">
        <v>84</v>
      </c>
      <c r="B9" t="s">
        <v>125</v>
      </c>
      <c r="C9">
        <v>15000</v>
      </c>
      <c r="D9" t="s">
        <v>13</v>
      </c>
      <c r="E9">
        <v>0.25</v>
      </c>
    </row>
    <row r="10">
      <c r="A10" t="s">
        <v>84</v>
      </c>
      <c r="B10" t="s">
        <v>125</v>
      </c>
      <c r="C10">
        <v>15000</v>
      </c>
      <c r="D10" t="s">
        <v>22</v>
      </c>
      <c r="E10">
        <v>263</v>
      </c>
    </row>
    <row r="11">
      <c r="A11" t="s">
        <v>84</v>
      </c>
      <c r="B11" t="s">
        <v>126</v>
      </c>
      <c r="C11">
        <v>20000</v>
      </c>
      <c r="D11" t="s">
        <v>18</v>
      </c>
      <c r="E11">
        <v>1.5</v>
      </c>
    </row>
    <row r="12">
      <c r="A12" t="s">
        <v>84</v>
      </c>
      <c r="B12" t="s">
        <v>126</v>
      </c>
      <c r="C12">
        <v>20000</v>
      </c>
      <c r="D12" t="s">
        <v>13</v>
      </c>
      <c r="E12">
        <v>0.25</v>
      </c>
    </row>
    <row r="13">
      <c r="A13" t="s">
        <v>84</v>
      </c>
      <c r="B13" t="s">
        <v>126</v>
      </c>
      <c r="C13">
        <v>20000</v>
      </c>
      <c r="D13" t="s">
        <v>22</v>
      </c>
      <c r="E13">
        <v>263</v>
      </c>
    </row>
    <row r="14">
      <c r="A14" t="s">
        <v>84</v>
      </c>
      <c r="B14" t="s">
        <v>127</v>
      </c>
      <c r="C14">
        <v>25000</v>
      </c>
      <c r="D14" t="s">
        <v>18</v>
      </c>
      <c r="E14">
        <v>1.5</v>
      </c>
    </row>
    <row r="15">
      <c r="A15" t="s">
        <v>84</v>
      </c>
      <c r="B15" t="s">
        <v>127</v>
      </c>
      <c r="C15">
        <v>25000</v>
      </c>
      <c r="D15" t="s">
        <v>13</v>
      </c>
      <c r="E15">
        <v>0.25</v>
      </c>
    </row>
    <row r="16">
      <c r="A16" t="s">
        <v>84</v>
      </c>
      <c r="B16" t="s">
        <v>127</v>
      </c>
      <c r="C16">
        <v>25000</v>
      </c>
      <c r="D16" t="s">
        <v>22</v>
      </c>
      <c r="E16">
        <v>263</v>
      </c>
    </row>
    <row r="17">
      <c r="A17" t="s">
        <v>84</v>
      </c>
      <c r="B17" t="s">
        <v>128</v>
      </c>
      <c r="C17">
        <v>30000</v>
      </c>
      <c r="D17" t="s">
        <v>22</v>
      </c>
      <c r="E17">
        <v>263</v>
      </c>
    </row>
    <row r="18">
      <c r="A18" t="s">
        <v>84</v>
      </c>
      <c r="B18" t="s">
        <v>128</v>
      </c>
      <c r="C18">
        <v>30000</v>
      </c>
      <c r="D18" t="s">
        <v>18</v>
      </c>
      <c r="E18">
        <v>1.5</v>
      </c>
    </row>
    <row r="19">
      <c r="A19" t="s">
        <v>84</v>
      </c>
      <c r="B19" t="s">
        <v>128</v>
      </c>
      <c r="C19">
        <v>30000</v>
      </c>
      <c r="D19" t="s">
        <v>13</v>
      </c>
      <c r="E19">
        <v>0.25</v>
      </c>
    </row>
    <row r="20">
      <c r="A20" t="s">
        <v>84</v>
      </c>
      <c r="B20" t="s">
        <v>129</v>
      </c>
      <c r="C20">
        <v>35000</v>
      </c>
      <c r="D20" t="s">
        <v>13</v>
      </c>
      <c r="E20">
        <v>0.25</v>
      </c>
    </row>
    <row r="21">
      <c r="A21" t="s">
        <v>84</v>
      </c>
      <c r="B21" t="s">
        <v>129</v>
      </c>
      <c r="C21">
        <v>35000</v>
      </c>
      <c r="D21" t="s">
        <v>22</v>
      </c>
      <c r="E21">
        <v>263</v>
      </c>
    </row>
    <row r="22">
      <c r="A22" t="s">
        <v>84</v>
      </c>
      <c r="B22" t="s">
        <v>129</v>
      </c>
      <c r="C22">
        <v>35000</v>
      </c>
      <c r="D22" t="s">
        <v>18</v>
      </c>
      <c r="E22">
        <v>1.5</v>
      </c>
    </row>
    <row r="23">
      <c r="A23" t="s">
        <v>84</v>
      </c>
      <c r="B23" t="s">
        <v>130</v>
      </c>
      <c r="C23">
        <v>40000</v>
      </c>
      <c r="D23" t="s">
        <v>13</v>
      </c>
      <c r="E23">
        <v>0.25</v>
      </c>
    </row>
    <row r="24">
      <c r="A24" t="s">
        <v>84</v>
      </c>
      <c r="B24" t="s">
        <v>130</v>
      </c>
      <c r="C24">
        <v>40000</v>
      </c>
      <c r="D24" t="s">
        <v>22</v>
      </c>
      <c r="E24">
        <v>263</v>
      </c>
    </row>
    <row r="25">
      <c r="A25" t="s">
        <v>84</v>
      </c>
      <c r="B25" t="s">
        <v>130</v>
      </c>
      <c r="C25">
        <v>40000</v>
      </c>
      <c r="D25" t="s">
        <v>18</v>
      </c>
      <c r="E25">
        <v>1.5</v>
      </c>
    </row>
    <row r="26">
      <c r="A26" t="s">
        <v>84</v>
      </c>
      <c r="B26" t="s">
        <v>131</v>
      </c>
      <c r="C26">
        <v>45000</v>
      </c>
      <c r="D26" t="s">
        <v>18</v>
      </c>
      <c r="E26">
        <v>1.5</v>
      </c>
    </row>
    <row r="27">
      <c r="A27" t="s">
        <v>84</v>
      </c>
      <c r="B27" t="s">
        <v>131</v>
      </c>
      <c r="C27">
        <v>45000</v>
      </c>
      <c r="D27" t="s">
        <v>13</v>
      </c>
      <c r="E27">
        <v>0.25</v>
      </c>
    </row>
    <row r="28">
      <c r="A28" t="s">
        <v>84</v>
      </c>
      <c r="B28" t="s">
        <v>131</v>
      </c>
      <c r="C28">
        <v>45000</v>
      </c>
      <c r="D28" t="s">
        <v>22</v>
      </c>
      <c r="E28">
        <v>263</v>
      </c>
    </row>
    <row r="29">
      <c r="A29" t="s">
        <v>84</v>
      </c>
      <c r="B29" t="s">
        <v>132</v>
      </c>
      <c r="C29">
        <v>50000</v>
      </c>
      <c r="D29" t="s">
        <v>18</v>
      </c>
      <c r="E29">
        <v>1.5</v>
      </c>
    </row>
    <row r="30">
      <c r="A30" t="s">
        <v>84</v>
      </c>
      <c r="B30" t="s">
        <v>132</v>
      </c>
      <c r="C30">
        <v>50000</v>
      </c>
      <c r="D30" t="s">
        <v>13</v>
      </c>
      <c r="E30">
        <v>0.25</v>
      </c>
    </row>
    <row r="31">
      <c r="A31" t="s">
        <v>84</v>
      </c>
      <c r="B31" t="s">
        <v>132</v>
      </c>
      <c r="C31">
        <v>50000</v>
      </c>
      <c r="D31" t="s">
        <v>22</v>
      </c>
      <c r="E31">
        <v>263</v>
      </c>
    </row>
    <row r="32">
      <c r="A32" t="s">
        <v>84</v>
      </c>
      <c r="B32" t="s">
        <v>133</v>
      </c>
      <c r="C32">
        <v>55000</v>
      </c>
      <c r="D32" t="s">
        <v>18</v>
      </c>
      <c r="E32">
        <v>1.5</v>
      </c>
    </row>
    <row r="33">
      <c r="A33" t="s">
        <v>84</v>
      </c>
      <c r="B33" t="s">
        <v>133</v>
      </c>
      <c r="C33">
        <v>55000</v>
      </c>
      <c r="D33" t="s">
        <v>13</v>
      </c>
      <c r="E33">
        <v>0.25</v>
      </c>
    </row>
    <row r="34">
      <c r="A34" t="s">
        <v>84</v>
      </c>
      <c r="B34" t="s">
        <v>133</v>
      </c>
      <c r="C34">
        <v>55000</v>
      </c>
      <c r="D34" t="s">
        <v>22</v>
      </c>
      <c r="E34">
        <v>263</v>
      </c>
    </row>
    <row r="35">
      <c r="A35" t="s">
        <v>84</v>
      </c>
      <c r="B35" t="s">
        <v>134</v>
      </c>
      <c r="C35">
        <v>60000</v>
      </c>
      <c r="D35" t="s">
        <v>18</v>
      </c>
      <c r="E35">
        <v>1.5</v>
      </c>
    </row>
    <row r="36">
      <c r="A36" t="s">
        <v>84</v>
      </c>
      <c r="B36" t="s">
        <v>134</v>
      </c>
      <c r="C36">
        <v>60000</v>
      </c>
      <c r="D36" t="s">
        <v>13</v>
      </c>
      <c r="E36">
        <v>0.25</v>
      </c>
    </row>
    <row r="37">
      <c r="A37" t="s">
        <v>84</v>
      </c>
      <c r="B37" t="s">
        <v>134</v>
      </c>
      <c r="C37">
        <v>60000</v>
      </c>
      <c r="D37" t="s">
        <v>22</v>
      </c>
      <c r="E37">
        <v>263</v>
      </c>
    </row>
    <row r="38">
      <c r="A38" t="s">
        <v>84</v>
      </c>
      <c r="B38" t="s">
        <v>135</v>
      </c>
      <c r="C38">
        <v>65000</v>
      </c>
      <c r="D38" t="s">
        <v>18</v>
      </c>
      <c r="E38">
        <v>1.5</v>
      </c>
    </row>
    <row r="39">
      <c r="A39" t="s">
        <v>84</v>
      </c>
      <c r="B39" t="s">
        <v>135</v>
      </c>
      <c r="C39">
        <v>65000</v>
      </c>
      <c r="D39" t="s">
        <v>13</v>
      </c>
      <c r="E39">
        <v>0.25</v>
      </c>
    </row>
    <row r="40">
      <c r="A40" t="s">
        <v>84</v>
      </c>
      <c r="B40" t="s">
        <v>135</v>
      </c>
      <c r="C40">
        <v>65000</v>
      </c>
      <c r="D40" t="s">
        <v>22</v>
      </c>
      <c r="E40">
        <v>263</v>
      </c>
    </row>
    <row r="41">
      <c r="A41" t="s">
        <v>84</v>
      </c>
      <c r="B41" t="s">
        <v>136</v>
      </c>
      <c r="C41">
        <v>70000</v>
      </c>
      <c r="D41" t="s">
        <v>18</v>
      </c>
      <c r="E41">
        <v>1.5</v>
      </c>
    </row>
    <row r="42">
      <c r="A42" t="s">
        <v>84</v>
      </c>
      <c r="B42" t="s">
        <v>136</v>
      </c>
      <c r="C42">
        <v>70000</v>
      </c>
      <c r="D42" t="s">
        <v>13</v>
      </c>
      <c r="E42">
        <v>0.25</v>
      </c>
    </row>
    <row r="43">
      <c r="A43" t="s">
        <v>84</v>
      </c>
      <c r="B43" t="s">
        <v>136</v>
      </c>
      <c r="C43">
        <v>70000</v>
      </c>
      <c r="D43" t="s">
        <v>22</v>
      </c>
      <c r="E43">
        <v>263</v>
      </c>
    </row>
    <row r="44">
      <c r="A44" t="s">
        <v>84</v>
      </c>
      <c r="B44" t="s">
        <v>137</v>
      </c>
      <c r="C44">
        <v>75000</v>
      </c>
      <c r="D44" t="s">
        <v>13</v>
      </c>
      <c r="E44">
        <v>0.25</v>
      </c>
    </row>
    <row r="45">
      <c r="A45" t="s">
        <v>84</v>
      </c>
      <c r="B45" t="s">
        <v>137</v>
      </c>
      <c r="C45">
        <v>75000</v>
      </c>
      <c r="D45" t="s">
        <v>22</v>
      </c>
      <c r="E45">
        <v>263</v>
      </c>
    </row>
    <row r="46">
      <c r="A46" t="s">
        <v>84</v>
      </c>
      <c r="B46" t="s">
        <v>137</v>
      </c>
      <c r="C46">
        <v>75000</v>
      </c>
      <c r="D46" t="s">
        <v>18</v>
      </c>
      <c r="E46">
        <v>1.5</v>
      </c>
    </row>
    <row r="47">
      <c r="A47" t="s">
        <v>84</v>
      </c>
      <c r="B47" t="s">
        <v>138</v>
      </c>
      <c r="C47">
        <v>80000</v>
      </c>
      <c r="D47" t="s">
        <v>18</v>
      </c>
      <c r="E47">
        <v>1.5</v>
      </c>
    </row>
    <row r="48">
      <c r="A48" t="s">
        <v>84</v>
      </c>
      <c r="B48" t="s">
        <v>138</v>
      </c>
      <c r="C48">
        <v>80000</v>
      </c>
      <c r="D48" t="s">
        <v>13</v>
      </c>
      <c r="E48">
        <v>0.25</v>
      </c>
    </row>
    <row r="49">
      <c r="A49" t="s">
        <v>84</v>
      </c>
      <c r="B49" t="s">
        <v>138</v>
      </c>
      <c r="C49">
        <v>80000</v>
      </c>
      <c r="D49" t="s">
        <v>22</v>
      </c>
      <c r="E49">
        <v>263</v>
      </c>
    </row>
    <row r="50">
      <c r="A50" t="s">
        <v>84</v>
      </c>
      <c r="B50" t="s">
        <v>139</v>
      </c>
      <c r="C50">
        <v>85000</v>
      </c>
      <c r="D50" t="s">
        <v>22</v>
      </c>
      <c r="E50">
        <v>263</v>
      </c>
    </row>
    <row r="51">
      <c r="A51" t="s">
        <v>84</v>
      </c>
      <c r="B51" t="s">
        <v>139</v>
      </c>
      <c r="C51">
        <v>85000</v>
      </c>
      <c r="D51" t="s">
        <v>18</v>
      </c>
      <c r="E51">
        <v>1.5</v>
      </c>
    </row>
    <row r="52">
      <c r="A52" t="s">
        <v>84</v>
      </c>
      <c r="B52" t="s">
        <v>139</v>
      </c>
      <c r="C52">
        <v>85000</v>
      </c>
      <c r="D52" t="s">
        <v>13</v>
      </c>
      <c r="E52">
        <v>0.25</v>
      </c>
    </row>
    <row r="53">
      <c r="A53" t="s">
        <v>84</v>
      </c>
      <c r="B53" t="s">
        <v>140</v>
      </c>
      <c r="C53">
        <v>90000</v>
      </c>
      <c r="D53" t="s">
        <v>13</v>
      </c>
      <c r="E53">
        <v>0.25</v>
      </c>
    </row>
    <row r="54">
      <c r="A54" t="s">
        <v>84</v>
      </c>
      <c r="B54" t="s">
        <v>140</v>
      </c>
      <c r="C54">
        <v>90000</v>
      </c>
      <c r="D54" t="s">
        <v>22</v>
      </c>
      <c r="E54">
        <v>263</v>
      </c>
    </row>
    <row r="55">
      <c r="A55" t="s">
        <v>84</v>
      </c>
      <c r="B55" t="s">
        <v>140</v>
      </c>
      <c r="C55">
        <v>90000</v>
      </c>
      <c r="D55" t="s">
        <v>18</v>
      </c>
      <c r="E55">
        <v>1.5</v>
      </c>
    </row>
    <row r="56">
      <c r="A56" t="s">
        <v>84</v>
      </c>
      <c r="B56" t="s">
        <v>141</v>
      </c>
      <c r="C56">
        <v>95000</v>
      </c>
      <c r="D56" t="s">
        <v>18</v>
      </c>
      <c r="E56">
        <v>1.5</v>
      </c>
    </row>
    <row r="57">
      <c r="A57" t="s">
        <v>84</v>
      </c>
      <c r="B57" t="s">
        <v>141</v>
      </c>
      <c r="C57">
        <v>95000</v>
      </c>
      <c r="D57" t="s">
        <v>13</v>
      </c>
      <c r="E57">
        <v>0.25</v>
      </c>
    </row>
    <row r="58">
      <c r="A58" t="s">
        <v>84</v>
      </c>
      <c r="B58" t="s">
        <v>141</v>
      </c>
      <c r="C58">
        <v>95000</v>
      </c>
      <c r="D58" t="s">
        <v>22</v>
      </c>
      <c r="E58">
        <v>263</v>
      </c>
    </row>
    <row r="59">
      <c r="A59" t="s">
        <v>84</v>
      </c>
      <c r="B59" t="s">
        <v>142</v>
      </c>
      <c r="C59">
        <v>100000</v>
      </c>
      <c r="D59" t="s">
        <v>18</v>
      </c>
      <c r="E59">
        <v>1.5</v>
      </c>
    </row>
    <row r="60">
      <c r="A60" t="s">
        <v>84</v>
      </c>
      <c r="B60" t="s">
        <v>142</v>
      </c>
      <c r="C60">
        <v>100000</v>
      </c>
      <c r="D60" t="s">
        <v>13</v>
      </c>
      <c r="E60">
        <v>0.25</v>
      </c>
    </row>
    <row r="61">
      <c r="A61" t="s">
        <v>84</v>
      </c>
      <c r="B61" t="s">
        <v>142</v>
      </c>
      <c r="C61">
        <v>100000</v>
      </c>
      <c r="D61" t="s">
        <v>22</v>
      </c>
      <c r="E61">
        <v>263</v>
      </c>
    </row>
    <row r="62">
      <c r="A62" t="s">
        <v>84</v>
      </c>
      <c r="B62" t="s">
        <v>118</v>
      </c>
      <c r="C62">
        <v>104300</v>
      </c>
      <c r="D62" t="s">
        <v>18</v>
      </c>
      <c r="E62">
        <v>1.4934036433365292</v>
      </c>
    </row>
    <row r="63">
      <c r="A63" t="s">
        <v>84</v>
      </c>
      <c r="B63" t="s">
        <v>118</v>
      </c>
      <c r="C63">
        <v>104300</v>
      </c>
      <c r="D63" t="s">
        <v>13</v>
      </c>
      <c r="E63">
        <v>0.26030680728667305</v>
      </c>
    </row>
    <row r="64">
      <c r="A64" t="s">
        <v>84</v>
      </c>
      <c r="B64" t="s">
        <v>118</v>
      </c>
      <c r="C64">
        <v>104300</v>
      </c>
      <c r="D64" t="s">
        <v>22</v>
      </c>
      <c r="E64">
        <v>271.9463087248322</v>
      </c>
    </row>
    <row r="65">
      <c r="A65" t="s">
        <v>84</v>
      </c>
      <c r="B65" t="s">
        <v>143</v>
      </c>
      <c r="C65">
        <v>108600</v>
      </c>
      <c r="D65" t="s">
        <v>18</v>
      </c>
      <c r="E65">
        <v>1.487329650092081</v>
      </c>
    </row>
    <row r="66">
      <c r="A66" t="s">
        <v>84</v>
      </c>
      <c r="B66" t="s">
        <v>143</v>
      </c>
      <c r="C66">
        <v>108600</v>
      </c>
      <c r="D66" t="s">
        <v>13</v>
      </c>
      <c r="E66">
        <v>0.26979742173112337</v>
      </c>
    </row>
    <row r="67">
      <c r="A67" t="s">
        <v>84</v>
      </c>
      <c r="B67" t="s">
        <v>143</v>
      </c>
      <c r="C67">
        <v>108600</v>
      </c>
      <c r="D67" t="s">
        <v>22</v>
      </c>
      <c r="E67">
        <v>280.1841620626151</v>
      </c>
    </row>
    <row r="68">
      <c r="A68" t="s">
        <v>84</v>
      </c>
      <c r="B68" t="s">
        <v>144</v>
      </c>
      <c r="C68">
        <v>112900</v>
      </c>
      <c r="D68" t="s">
        <v>18</v>
      </c>
      <c r="E68">
        <v>1.481718334809566</v>
      </c>
    </row>
    <row r="69">
      <c r="A69" t="s">
        <v>84</v>
      </c>
      <c r="B69" t="s">
        <v>144</v>
      </c>
      <c r="C69">
        <v>112900</v>
      </c>
      <c r="D69" t="s">
        <v>13</v>
      </c>
      <c r="E69">
        <v>0.2785651018600531</v>
      </c>
    </row>
    <row r="70">
      <c r="A70" t="s">
        <v>84</v>
      </c>
      <c r="B70" t="s">
        <v>144</v>
      </c>
      <c r="C70">
        <v>112900</v>
      </c>
      <c r="D70" t="s">
        <v>22</v>
      </c>
      <c r="E70">
        <v>287.79450841452615</v>
      </c>
    </row>
    <row r="71">
      <c r="A71" t="s">
        <v>84</v>
      </c>
      <c r="B71" t="s">
        <v>145</v>
      </c>
      <c r="C71">
        <v>117200</v>
      </c>
      <c r="D71" t="s">
        <v>13</v>
      </c>
      <c r="E71">
        <v>0.28668941979522183</v>
      </c>
    </row>
    <row r="72">
      <c r="A72" t="s">
        <v>84</v>
      </c>
      <c r="B72" t="s">
        <v>145</v>
      </c>
      <c r="C72">
        <v>117200</v>
      </c>
      <c r="D72" t="s">
        <v>22</v>
      </c>
      <c r="E72">
        <v>294.8464163822526</v>
      </c>
    </row>
    <row r="73">
      <c r="A73" t="s">
        <v>84</v>
      </c>
      <c r="B73" t="s">
        <v>145</v>
      </c>
      <c r="C73">
        <v>117200</v>
      </c>
      <c r="D73" t="s">
        <v>18</v>
      </c>
      <c r="E73">
        <v>1.476518771331058</v>
      </c>
    </row>
    <row r="74">
      <c r="A74" t="s">
        <v>84</v>
      </c>
      <c r="B74" t="s">
        <v>146</v>
      </c>
      <c r="C74">
        <v>121500</v>
      </c>
      <c r="D74" t="s">
        <v>18</v>
      </c>
      <c r="E74">
        <v>1.4716872427983538</v>
      </c>
    </row>
    <row r="75">
      <c r="A75" t="s">
        <v>84</v>
      </c>
      <c r="B75" t="s">
        <v>146</v>
      </c>
      <c r="C75">
        <v>121500</v>
      </c>
      <c r="D75" t="s">
        <v>13</v>
      </c>
      <c r="E75">
        <v>0.294238683127572</v>
      </c>
    </row>
    <row r="76">
      <c r="A76" t="s">
        <v>84</v>
      </c>
      <c r="B76" t="s">
        <v>146</v>
      </c>
      <c r="C76">
        <v>121500</v>
      </c>
      <c r="D76" t="s">
        <v>22</v>
      </c>
      <c r="E76">
        <v>301.3991769547325</v>
      </c>
    </row>
    <row r="77">
      <c r="A77" t="s">
        <v>84</v>
      </c>
      <c r="B77" t="s">
        <v>147</v>
      </c>
      <c r="C77">
        <v>125800</v>
      </c>
      <c r="D77" t="s">
        <v>18</v>
      </c>
      <c r="E77">
        <v>1.4671860095389506</v>
      </c>
    </row>
    <row r="78">
      <c r="A78" t="s">
        <v>84</v>
      </c>
      <c r="B78" t="s">
        <v>147</v>
      </c>
      <c r="C78">
        <v>125800</v>
      </c>
      <c r="D78" t="s">
        <v>13</v>
      </c>
      <c r="E78">
        <v>0.30127186009538953</v>
      </c>
    </row>
    <row r="79">
      <c r="A79" t="s">
        <v>84</v>
      </c>
      <c r="B79" t="s">
        <v>147</v>
      </c>
      <c r="C79">
        <v>125800</v>
      </c>
      <c r="D79" t="s">
        <v>22</v>
      </c>
      <c r="E79">
        <v>307.5039745627981</v>
      </c>
    </row>
    <row r="80">
      <c r="A80" t="s">
        <v>84</v>
      </c>
      <c r="B80" t="s">
        <v>148</v>
      </c>
      <c r="C80">
        <v>130100</v>
      </c>
      <c r="D80" t="s">
        <v>22</v>
      </c>
      <c r="E80">
        <v>313.20522674865487</v>
      </c>
    </row>
    <row r="81">
      <c r="A81" t="s">
        <v>84</v>
      </c>
      <c r="B81" t="s">
        <v>148</v>
      </c>
      <c r="C81">
        <v>130100</v>
      </c>
      <c r="D81" t="s">
        <v>18</v>
      </c>
      <c r="E81">
        <v>1.4629823212913144</v>
      </c>
    </row>
    <row r="82">
      <c r="A82" t="s">
        <v>84</v>
      </c>
      <c r="B82" t="s">
        <v>148</v>
      </c>
      <c r="C82">
        <v>130100</v>
      </c>
      <c r="D82" t="s">
        <v>13</v>
      </c>
      <c r="E82">
        <v>0.3078401229823213</v>
      </c>
    </row>
    <row r="83">
      <c r="A83" t="s">
        <v>84</v>
      </c>
      <c r="B83" t="s">
        <v>149</v>
      </c>
      <c r="C83">
        <v>134400</v>
      </c>
      <c r="D83" t="s">
        <v>18</v>
      </c>
      <c r="E83">
        <v>1.4590476190476191</v>
      </c>
    </row>
    <row r="84">
      <c r="A84" t="s">
        <v>84</v>
      </c>
      <c r="B84" t="s">
        <v>149</v>
      </c>
      <c r="C84">
        <v>134400</v>
      </c>
      <c r="D84" t="s">
        <v>13</v>
      </c>
      <c r="E84">
        <v>0.31398809523809523</v>
      </c>
    </row>
    <row r="85">
      <c r="A85" t="s">
        <v>84</v>
      </c>
      <c r="B85" t="s">
        <v>149</v>
      </c>
      <c r="C85">
        <v>134400</v>
      </c>
      <c r="D85" t="s">
        <v>22</v>
      </c>
      <c r="E85">
        <v>318.5416666666667</v>
      </c>
    </row>
    <row r="86">
      <c r="A86" t="s">
        <v>84</v>
      </c>
      <c r="B86" t="s">
        <v>150</v>
      </c>
      <c r="C86">
        <v>138700</v>
      </c>
      <c r="D86" t="s">
        <v>18</v>
      </c>
      <c r="E86">
        <v>1.4553568853640952</v>
      </c>
    </row>
    <row r="87">
      <c r="A87" t="s">
        <v>84</v>
      </c>
      <c r="B87" t="s">
        <v>150</v>
      </c>
      <c r="C87">
        <v>138700</v>
      </c>
      <c r="D87" t="s">
        <v>13</v>
      </c>
      <c r="E87">
        <v>0.3197548666186013</v>
      </c>
    </row>
    <row r="88">
      <c r="A88" t="s">
        <v>84</v>
      </c>
      <c r="B88" t="s">
        <v>150</v>
      </c>
      <c r="C88">
        <v>138700</v>
      </c>
      <c r="D88" t="s">
        <v>22</v>
      </c>
      <c r="E88">
        <v>323.5472242249459</v>
      </c>
    </row>
    <row r="89">
      <c r="A89" t="s">
        <v>84</v>
      </c>
      <c r="B89" t="s">
        <v>151</v>
      </c>
      <c r="C89">
        <v>143000</v>
      </c>
      <c r="D89" t="s">
        <v>13</v>
      </c>
      <c r="E89">
        <v>0.32517482517482516</v>
      </c>
    </row>
    <row r="90">
      <c r="A90" t="s">
        <v>84</v>
      </c>
      <c r="B90" t="s">
        <v>151</v>
      </c>
      <c r="C90">
        <v>143000</v>
      </c>
      <c r="D90" t="s">
        <v>22</v>
      </c>
      <c r="E90">
        <v>328.25174825174827</v>
      </c>
    </row>
    <row r="91">
      <c r="A91" t="s">
        <v>84</v>
      </c>
      <c r="B91" t="s">
        <v>151</v>
      </c>
      <c r="C91">
        <v>143000</v>
      </c>
      <c r="D91" t="s">
        <v>18</v>
      </c>
      <c r="E91">
        <v>1.451888111888112</v>
      </c>
    </row>
    <row r="92">
      <c r="A92" t="s">
        <v>84</v>
      </c>
      <c r="B92" t="s">
        <v>152</v>
      </c>
      <c r="C92">
        <v>147300</v>
      </c>
      <c r="D92" t="s">
        <v>13</v>
      </c>
      <c r="E92">
        <v>0.3302783435166327</v>
      </c>
    </row>
    <row r="93">
      <c r="A93" t="s">
        <v>84</v>
      </c>
      <c r="B93" t="s">
        <v>152</v>
      </c>
      <c r="C93">
        <v>147300</v>
      </c>
      <c r="D93" t="s">
        <v>22</v>
      </c>
      <c r="E93">
        <v>332.6816021724372</v>
      </c>
    </row>
    <row r="94">
      <c r="A94" t="s">
        <v>84</v>
      </c>
      <c r="B94" t="s">
        <v>152</v>
      </c>
      <c r="C94">
        <v>147300</v>
      </c>
      <c r="D94" t="s">
        <v>18</v>
      </c>
      <c r="E94">
        <v>1.448621860149355</v>
      </c>
    </row>
    <row r="95">
      <c r="A95" t="s">
        <v>84</v>
      </c>
      <c r="B95" t="s">
        <v>153</v>
      </c>
      <c r="C95">
        <v>151600</v>
      </c>
      <c r="D95" t="s">
        <v>13</v>
      </c>
      <c r="E95">
        <v>0.33509234828496043</v>
      </c>
    </row>
    <row r="96">
      <c r="A96" t="s">
        <v>84</v>
      </c>
      <c r="B96" t="s">
        <v>153</v>
      </c>
      <c r="C96">
        <v>151600</v>
      </c>
      <c r="D96" t="s">
        <v>22</v>
      </c>
      <c r="E96">
        <v>336.86015831134563</v>
      </c>
    </row>
    <row r="97">
      <c r="A97" t="s">
        <v>84</v>
      </c>
      <c r="B97" t="s">
        <v>153</v>
      </c>
      <c r="C97">
        <v>151600</v>
      </c>
      <c r="D97" t="s">
        <v>18</v>
      </c>
      <c r="E97">
        <v>1.4455408970976253</v>
      </c>
    </row>
    <row r="98">
      <c r="A98" t="s">
        <v>84</v>
      </c>
      <c r="B98" t="s">
        <v>154</v>
      </c>
      <c r="C98">
        <v>155900</v>
      </c>
      <c r="D98" t="s">
        <v>18</v>
      </c>
      <c r="E98">
        <v>1.442629890955741</v>
      </c>
    </row>
    <row r="99">
      <c r="A99" t="s">
        <v>84</v>
      </c>
      <c r="B99" t="s">
        <v>154</v>
      </c>
      <c r="C99">
        <v>155900</v>
      </c>
      <c r="D99" t="s">
        <v>13</v>
      </c>
      <c r="E99">
        <v>0.3396407953816549</v>
      </c>
    </row>
    <row r="100">
      <c r="A100" t="s">
        <v>84</v>
      </c>
      <c r="B100" t="s">
        <v>154</v>
      </c>
      <c r="C100">
        <v>155900</v>
      </c>
      <c r="D100" t="s">
        <v>22</v>
      </c>
      <c r="E100">
        <v>340.8082103912765</v>
      </c>
    </row>
    <row r="101">
      <c r="A101" t="s">
        <v>84</v>
      </c>
      <c r="B101" t="s">
        <v>155</v>
      </c>
      <c r="C101">
        <v>160200</v>
      </c>
      <c r="D101" t="s">
        <v>18</v>
      </c>
      <c r="E101">
        <v>1.4398751560549314</v>
      </c>
    </row>
    <row r="102">
      <c r="A102" t="s">
        <v>84</v>
      </c>
      <c r="B102" t="s">
        <v>155</v>
      </c>
      <c r="C102">
        <v>160200</v>
      </c>
      <c r="D102" t="s">
        <v>13</v>
      </c>
      <c r="E102">
        <v>0.3439450686641698</v>
      </c>
    </row>
    <row r="103">
      <c r="A103" t="s">
        <v>84</v>
      </c>
      <c r="B103" t="s">
        <v>155</v>
      </c>
      <c r="C103">
        <v>160200</v>
      </c>
      <c r="D103" t="s">
        <v>22</v>
      </c>
      <c r="E103">
        <v>344.54431960049936</v>
      </c>
    </row>
    <row r="104">
      <c r="A104" t="s">
        <v>84</v>
      </c>
      <c r="B104" t="s">
        <v>156</v>
      </c>
      <c r="C104">
        <v>164500</v>
      </c>
      <c r="D104" t="s">
        <v>18</v>
      </c>
      <c r="E104">
        <v>1.4372644376899697</v>
      </c>
    </row>
    <row r="105">
      <c r="A105" t="s">
        <v>84</v>
      </c>
      <c r="B105" t="s">
        <v>156</v>
      </c>
      <c r="C105">
        <v>164500</v>
      </c>
      <c r="D105" t="s">
        <v>13</v>
      </c>
      <c r="E105">
        <v>0.34802431610942247</v>
      </c>
    </row>
    <row r="106">
      <c r="A106" t="s">
        <v>84</v>
      </c>
      <c r="B106" t="s">
        <v>156</v>
      </c>
      <c r="C106">
        <v>164500</v>
      </c>
      <c r="D106" t="s">
        <v>22</v>
      </c>
      <c r="E106">
        <v>348.0851063829787</v>
      </c>
    </row>
    <row r="107">
      <c r="A107" t="s">
        <v>84</v>
      </c>
      <c r="B107" t="s">
        <v>157</v>
      </c>
      <c r="C107">
        <v>168800</v>
      </c>
      <c r="D107" t="s">
        <v>18</v>
      </c>
      <c r="E107">
        <v>1.43478672985782</v>
      </c>
    </row>
    <row r="108">
      <c r="A108" t="s">
        <v>84</v>
      </c>
      <c r="B108" t="s">
        <v>157</v>
      </c>
      <c r="C108">
        <v>168800</v>
      </c>
      <c r="D108" t="s">
        <v>13</v>
      </c>
      <c r="E108">
        <v>0.3518957345971564</v>
      </c>
    </row>
    <row r="109">
      <c r="A109" t="s">
        <v>84</v>
      </c>
      <c r="B109" t="s">
        <v>157</v>
      </c>
      <c r="C109">
        <v>168800</v>
      </c>
      <c r="D109" t="s">
        <v>22</v>
      </c>
      <c r="E109">
        <v>351.4454976303318</v>
      </c>
    </row>
    <row r="110">
      <c r="A110" t="s">
        <v>84</v>
      </c>
      <c r="B110" t="s">
        <v>158</v>
      </c>
      <c r="C110">
        <v>173100</v>
      </c>
      <c r="D110" t="s">
        <v>18</v>
      </c>
      <c r="E110">
        <v>1.4324321201617565</v>
      </c>
    </row>
    <row r="111">
      <c r="A111" t="s">
        <v>84</v>
      </c>
      <c r="B111" t="s">
        <v>158</v>
      </c>
      <c r="C111">
        <v>173100</v>
      </c>
      <c r="D111" t="s">
        <v>13</v>
      </c>
      <c r="E111">
        <v>0.3555748122472559</v>
      </c>
    </row>
    <row r="112">
      <c r="A112" t="s">
        <v>84</v>
      </c>
      <c r="B112" t="s">
        <v>158</v>
      </c>
      <c r="C112">
        <v>173100</v>
      </c>
      <c r="D112" t="s">
        <v>22</v>
      </c>
      <c r="E112">
        <v>354.63893703061814</v>
      </c>
    </row>
    <row r="113">
      <c r="A113" t="s">
        <v>84</v>
      </c>
      <c r="B113" t="s">
        <v>159</v>
      </c>
      <c r="C113">
        <v>177400</v>
      </c>
      <c r="D113" t="s">
        <v>13</v>
      </c>
      <c r="E113">
        <v>0.359075535512965</v>
      </c>
    </row>
    <row r="114">
      <c r="A114" t="s">
        <v>84</v>
      </c>
      <c r="B114" t="s">
        <v>159</v>
      </c>
      <c r="C114">
        <v>177400</v>
      </c>
      <c r="D114" t="s">
        <v>22</v>
      </c>
      <c r="E114">
        <v>357.6775648252537</v>
      </c>
    </row>
    <row r="115">
      <c r="A115" t="s">
        <v>84</v>
      </c>
      <c r="B115" t="s">
        <v>159</v>
      </c>
      <c r="C115">
        <v>177400</v>
      </c>
      <c r="D115" t="s">
        <v>18</v>
      </c>
      <c r="E115">
        <v>1.4301916572717026</v>
      </c>
    </row>
    <row r="116">
      <c r="A116" t="s">
        <v>84</v>
      </c>
      <c r="B116" t="s">
        <v>160</v>
      </c>
      <c r="C116">
        <v>181700</v>
      </c>
      <c r="D116" t="s">
        <v>18</v>
      </c>
      <c r="E116">
        <v>1.4280572372041829</v>
      </c>
    </row>
    <row r="117">
      <c r="A117" t="s">
        <v>84</v>
      </c>
      <c r="B117" t="s">
        <v>160</v>
      </c>
      <c r="C117">
        <v>181700</v>
      </c>
      <c r="D117" t="s">
        <v>13</v>
      </c>
      <c r="E117">
        <v>0.3624105668684645</v>
      </c>
    </row>
    <row r="118">
      <c r="A118" t="s">
        <v>84</v>
      </c>
      <c r="B118" t="s">
        <v>160</v>
      </c>
      <c r="C118">
        <v>181700</v>
      </c>
      <c r="D118" t="s">
        <v>22</v>
      </c>
      <c r="E118">
        <v>360.5723720418272</v>
      </c>
    </row>
    <row r="119">
      <c r="A119" t="s">
        <v>84</v>
      </c>
      <c r="B119" t="s">
        <v>161</v>
      </c>
      <c r="C119">
        <v>186000</v>
      </c>
      <c r="D119" t="s">
        <v>18</v>
      </c>
      <c r="E119">
        <v>1.4260215053763443</v>
      </c>
    </row>
    <row r="120">
      <c r="A120" t="s">
        <v>84</v>
      </c>
      <c r="B120" t="s">
        <v>161</v>
      </c>
      <c r="C120">
        <v>186000</v>
      </c>
      <c r="D120" t="s">
        <v>13</v>
      </c>
      <c r="E120">
        <v>0.3655913978494624</v>
      </c>
    </row>
    <row r="121">
      <c r="A121" t="s">
        <v>84</v>
      </c>
      <c r="B121" t="s">
        <v>161</v>
      </c>
      <c r="C121">
        <v>186000</v>
      </c>
      <c r="D121" t="s">
        <v>22</v>
      </c>
      <c r="E121">
        <v>363.3333333333333</v>
      </c>
    </row>
    <row r="122">
      <c r="A122" t="s">
        <v>84</v>
      </c>
      <c r="B122" t="s">
        <v>162</v>
      </c>
      <c r="C122">
        <v>187500</v>
      </c>
      <c r="D122" t="s">
        <v>22</v>
      </c>
      <c r="E122">
        <v>364.26666666666665</v>
      </c>
    </row>
    <row r="123">
      <c r="A123" t="s">
        <v>84</v>
      </c>
      <c r="B123" t="s">
        <v>162</v>
      </c>
      <c r="C123">
        <v>187500</v>
      </c>
      <c r="D123" t="s">
        <v>18</v>
      </c>
      <c r="E123">
        <v>1.4253333333333336</v>
      </c>
    </row>
    <row r="124">
      <c r="A124" t="s">
        <v>84</v>
      </c>
      <c r="B124" t="s">
        <v>162</v>
      </c>
      <c r="C124">
        <v>187500</v>
      </c>
      <c r="D124" t="s">
        <v>13</v>
      </c>
      <c r="E124">
        <v>0.36666666666666664</v>
      </c>
    </row>
    <row r="125">
      <c r="A125" t="s">
        <v>84</v>
      </c>
      <c r="B125" t="s">
        <v>118</v>
      </c>
      <c r="C125">
        <v>185000</v>
      </c>
      <c r="D125" t="s">
        <v>18</v>
      </c>
      <c r="E125">
        <v>1.4253333333333336</v>
      </c>
    </row>
    <row r="126">
      <c r="A126" t="s">
        <v>84</v>
      </c>
      <c r="B126" t="s">
        <v>118</v>
      </c>
      <c r="C126">
        <v>185000</v>
      </c>
      <c r="D126" t="s">
        <v>13</v>
      </c>
      <c r="E126">
        <v>0.36666666666666664</v>
      </c>
    </row>
    <row r="127">
      <c r="A127" t="s">
        <v>84</v>
      </c>
      <c r="B127" t="s">
        <v>118</v>
      </c>
      <c r="C127">
        <v>185000</v>
      </c>
      <c r="D127" t="s">
        <v>22</v>
      </c>
      <c r="E127">
        <v>364.26666666666665</v>
      </c>
    </row>
    <row r="128">
      <c r="A128" t="s">
        <v>84</v>
      </c>
      <c r="B128" t="s">
        <v>143</v>
      </c>
      <c r="C128">
        <v>182500</v>
      </c>
      <c r="D128" t="s">
        <v>18</v>
      </c>
      <c r="E128">
        <v>1.4253333333333336</v>
      </c>
    </row>
    <row r="129">
      <c r="A129" t="s">
        <v>84</v>
      </c>
      <c r="B129" t="s">
        <v>143</v>
      </c>
      <c r="C129">
        <v>182500</v>
      </c>
      <c r="D129" t="s">
        <v>13</v>
      </c>
      <c r="E129">
        <v>0.36666666666666664</v>
      </c>
    </row>
    <row r="130">
      <c r="A130" t="s">
        <v>84</v>
      </c>
      <c r="B130" t="s">
        <v>143</v>
      </c>
      <c r="C130">
        <v>182500</v>
      </c>
      <c r="D130" t="s">
        <v>22</v>
      </c>
      <c r="E130">
        <v>364.26666666666665</v>
      </c>
    </row>
    <row r="131">
      <c r="A131" t="s">
        <v>84</v>
      </c>
      <c r="B131" t="s">
        <v>144</v>
      </c>
      <c r="C131">
        <v>180000</v>
      </c>
      <c r="D131" t="s">
        <v>18</v>
      </c>
      <c r="E131">
        <v>1.4253333333333336</v>
      </c>
    </row>
    <row r="132">
      <c r="A132" t="s">
        <v>84</v>
      </c>
      <c r="B132" t="s">
        <v>144</v>
      </c>
      <c r="C132">
        <v>180000</v>
      </c>
      <c r="D132" t="s">
        <v>13</v>
      </c>
      <c r="E132">
        <v>0.36666666666666664</v>
      </c>
    </row>
    <row r="133">
      <c r="A133" t="s">
        <v>84</v>
      </c>
      <c r="B133" t="s">
        <v>144</v>
      </c>
      <c r="C133">
        <v>180000</v>
      </c>
      <c r="D133" t="s">
        <v>22</v>
      </c>
      <c r="E133">
        <v>364.26666666666665</v>
      </c>
    </row>
    <row r="134">
      <c r="A134" t="s">
        <v>84</v>
      </c>
      <c r="B134" t="s">
        <v>145</v>
      </c>
      <c r="C134">
        <v>177500</v>
      </c>
      <c r="D134" t="s">
        <v>18</v>
      </c>
      <c r="E134">
        <v>1.4253333333333336</v>
      </c>
    </row>
    <row r="135">
      <c r="A135" t="s">
        <v>84</v>
      </c>
      <c r="B135" t="s">
        <v>145</v>
      </c>
      <c r="C135">
        <v>177500</v>
      </c>
      <c r="D135" t="s">
        <v>13</v>
      </c>
      <c r="E135">
        <v>0.36666666666666664</v>
      </c>
    </row>
    <row r="136">
      <c r="A136" t="s">
        <v>84</v>
      </c>
      <c r="B136" t="s">
        <v>145</v>
      </c>
      <c r="C136">
        <v>177500</v>
      </c>
      <c r="D136" t="s">
        <v>22</v>
      </c>
      <c r="E136">
        <v>364.26666666666665</v>
      </c>
    </row>
    <row r="137">
      <c r="A137" t="s">
        <v>84</v>
      </c>
      <c r="B137" t="s">
        <v>146</v>
      </c>
      <c r="C137">
        <v>175000</v>
      </c>
      <c r="D137" t="s">
        <v>18</v>
      </c>
      <c r="E137">
        <v>1.4253333333333336</v>
      </c>
    </row>
    <row r="138">
      <c r="A138" t="s">
        <v>84</v>
      </c>
      <c r="B138" t="s">
        <v>146</v>
      </c>
      <c r="C138">
        <v>175000</v>
      </c>
      <c r="D138" t="s">
        <v>13</v>
      </c>
      <c r="E138">
        <v>0.36666666666666664</v>
      </c>
    </row>
    <row r="139">
      <c r="A139" t="s">
        <v>84</v>
      </c>
      <c r="B139" t="s">
        <v>146</v>
      </c>
      <c r="C139">
        <v>175000</v>
      </c>
      <c r="D139" t="s">
        <v>22</v>
      </c>
      <c r="E139">
        <v>364.26666666666665</v>
      </c>
    </row>
    <row r="140">
      <c r="A140" t="s">
        <v>84</v>
      </c>
      <c r="B140" t="s">
        <v>147</v>
      </c>
      <c r="C140">
        <v>172500</v>
      </c>
      <c r="D140" t="s">
        <v>18</v>
      </c>
      <c r="E140">
        <v>1.4253333333333336</v>
      </c>
    </row>
    <row r="141">
      <c r="A141" t="s">
        <v>84</v>
      </c>
      <c r="B141" t="s">
        <v>147</v>
      </c>
      <c r="C141">
        <v>172500</v>
      </c>
      <c r="D141" t="s">
        <v>13</v>
      </c>
      <c r="E141">
        <v>0.36666666666666664</v>
      </c>
    </row>
    <row r="142">
      <c r="A142" t="s">
        <v>84</v>
      </c>
      <c r="B142" t="s">
        <v>147</v>
      </c>
      <c r="C142">
        <v>172500</v>
      </c>
      <c r="D142" t="s">
        <v>22</v>
      </c>
      <c r="E142">
        <v>364.26666666666665</v>
      </c>
    </row>
    <row r="143">
      <c r="A143" t="s">
        <v>84</v>
      </c>
      <c r="B143" t="s">
        <v>148</v>
      </c>
      <c r="C143">
        <v>170000</v>
      </c>
      <c r="D143" t="s">
        <v>18</v>
      </c>
      <c r="E143">
        <v>1.4253333333333336</v>
      </c>
    </row>
    <row r="144">
      <c r="A144" t="s">
        <v>84</v>
      </c>
      <c r="B144" t="s">
        <v>148</v>
      </c>
      <c r="C144">
        <v>170000</v>
      </c>
      <c r="D144" t="s">
        <v>13</v>
      </c>
      <c r="E144">
        <v>0.36666666666666664</v>
      </c>
    </row>
    <row r="145">
      <c r="A145" t="s">
        <v>84</v>
      </c>
      <c r="B145" t="s">
        <v>148</v>
      </c>
      <c r="C145">
        <v>170000</v>
      </c>
      <c r="D145" t="s">
        <v>22</v>
      </c>
      <c r="E145">
        <v>364.26666666666665</v>
      </c>
    </row>
    <row r="146">
      <c r="A146" t="s">
        <v>84</v>
      </c>
      <c r="B146" t="s">
        <v>149</v>
      </c>
      <c r="C146">
        <v>167500</v>
      </c>
      <c r="D146" t="s">
        <v>18</v>
      </c>
      <c r="E146">
        <v>1.4253333333333336</v>
      </c>
    </row>
    <row r="147">
      <c r="A147" t="s">
        <v>84</v>
      </c>
      <c r="B147" t="s">
        <v>149</v>
      </c>
      <c r="C147">
        <v>167500</v>
      </c>
      <c r="D147" t="s">
        <v>13</v>
      </c>
      <c r="E147">
        <v>0.36666666666666664</v>
      </c>
    </row>
    <row r="148">
      <c r="A148" t="s">
        <v>84</v>
      </c>
      <c r="B148" t="s">
        <v>149</v>
      </c>
      <c r="C148">
        <v>167500</v>
      </c>
      <c r="D148" t="s">
        <v>22</v>
      </c>
      <c r="E148">
        <v>364.26666666666665</v>
      </c>
    </row>
    <row r="149">
      <c r="A149" t="s">
        <v>84</v>
      </c>
      <c r="B149" t="s">
        <v>150</v>
      </c>
      <c r="C149">
        <v>165000</v>
      </c>
      <c r="D149" t="s">
        <v>18</v>
      </c>
      <c r="E149">
        <v>1.4253333333333336</v>
      </c>
    </row>
    <row r="150">
      <c r="A150" t="s">
        <v>84</v>
      </c>
      <c r="B150" t="s">
        <v>150</v>
      </c>
      <c r="C150">
        <v>165000</v>
      </c>
      <c r="D150" t="s">
        <v>13</v>
      </c>
      <c r="E150">
        <v>0.36666666666666664</v>
      </c>
    </row>
    <row r="151">
      <c r="A151" t="s">
        <v>84</v>
      </c>
      <c r="B151" t="s">
        <v>150</v>
      </c>
      <c r="C151">
        <v>165000</v>
      </c>
      <c r="D151" t="s">
        <v>22</v>
      </c>
      <c r="E151">
        <v>364.26666666666665</v>
      </c>
    </row>
    <row r="152">
      <c r="A152" t="s">
        <v>84</v>
      </c>
      <c r="B152" t="s">
        <v>151</v>
      </c>
      <c r="C152">
        <v>162500</v>
      </c>
      <c r="D152" t="s">
        <v>18</v>
      </c>
      <c r="E152">
        <v>1.4253333333333336</v>
      </c>
    </row>
    <row r="153">
      <c r="A153" t="s">
        <v>84</v>
      </c>
      <c r="B153" t="s">
        <v>151</v>
      </c>
      <c r="C153">
        <v>162500</v>
      </c>
      <c r="D153" t="s">
        <v>13</v>
      </c>
      <c r="E153">
        <v>0.36666666666666664</v>
      </c>
    </row>
    <row r="154">
      <c r="A154" t="s">
        <v>84</v>
      </c>
      <c r="B154" t="s">
        <v>151</v>
      </c>
      <c r="C154">
        <v>162500</v>
      </c>
      <c r="D154" t="s">
        <v>22</v>
      </c>
      <c r="E154">
        <v>364.26666666666665</v>
      </c>
    </row>
    <row r="155">
      <c r="A155" t="s">
        <v>84</v>
      </c>
      <c r="B155" t="s">
        <v>152</v>
      </c>
      <c r="C155">
        <v>160000</v>
      </c>
      <c r="D155" t="s">
        <v>18</v>
      </c>
      <c r="E155">
        <v>1.4253333333333336</v>
      </c>
    </row>
    <row r="156">
      <c r="A156" t="s">
        <v>84</v>
      </c>
      <c r="B156" t="s">
        <v>152</v>
      </c>
      <c r="C156">
        <v>160000</v>
      </c>
      <c r="D156" t="s">
        <v>13</v>
      </c>
      <c r="E156">
        <v>0.36666666666666664</v>
      </c>
    </row>
    <row r="157">
      <c r="A157" t="s">
        <v>84</v>
      </c>
      <c r="B157" t="s">
        <v>152</v>
      </c>
      <c r="C157">
        <v>160000</v>
      </c>
      <c r="D157" t="s">
        <v>22</v>
      </c>
      <c r="E157">
        <v>364.26666666666665</v>
      </c>
    </row>
    <row r="158">
      <c r="A158" t="s">
        <v>84</v>
      </c>
      <c r="B158" t="s">
        <v>153</v>
      </c>
      <c r="C158">
        <v>157500</v>
      </c>
      <c r="D158" t="s">
        <v>18</v>
      </c>
      <c r="E158">
        <v>1.4253333333333336</v>
      </c>
    </row>
    <row r="159">
      <c r="A159" t="s">
        <v>84</v>
      </c>
      <c r="B159" t="s">
        <v>153</v>
      </c>
      <c r="C159">
        <v>157500</v>
      </c>
      <c r="D159" t="s">
        <v>13</v>
      </c>
      <c r="E159">
        <v>0.36666666666666664</v>
      </c>
    </row>
    <row r="160">
      <c r="A160" t="s">
        <v>84</v>
      </c>
      <c r="B160" t="s">
        <v>153</v>
      </c>
      <c r="C160">
        <v>157500</v>
      </c>
      <c r="D160" t="s">
        <v>22</v>
      </c>
      <c r="E160">
        <v>364.26666666666665</v>
      </c>
    </row>
    <row r="161">
      <c r="A161" t="s">
        <v>84</v>
      </c>
      <c r="B161" t="s">
        <v>154</v>
      </c>
      <c r="C161">
        <v>155000</v>
      </c>
      <c r="D161" t="s">
        <v>18</v>
      </c>
      <c r="E161">
        <v>1.4253333333333336</v>
      </c>
    </row>
    <row r="162">
      <c r="A162" t="s">
        <v>84</v>
      </c>
      <c r="B162" t="s">
        <v>154</v>
      </c>
      <c r="C162">
        <v>155000</v>
      </c>
      <c r="D162" t="s">
        <v>13</v>
      </c>
      <c r="E162">
        <v>0.36666666666666664</v>
      </c>
    </row>
    <row r="163">
      <c r="A163" t="s">
        <v>84</v>
      </c>
      <c r="B163" t="s">
        <v>154</v>
      </c>
      <c r="C163">
        <v>155000</v>
      </c>
      <c r="D163" t="s">
        <v>22</v>
      </c>
      <c r="E163">
        <v>364.26666666666665</v>
      </c>
    </row>
    <row r="164">
      <c r="A164" t="s">
        <v>84</v>
      </c>
      <c r="B164" t="s">
        <v>155</v>
      </c>
      <c r="C164">
        <v>152500</v>
      </c>
      <c r="D164" t="s">
        <v>18</v>
      </c>
      <c r="E164">
        <v>1.4253333333333336</v>
      </c>
    </row>
    <row r="165">
      <c r="A165" t="s">
        <v>84</v>
      </c>
      <c r="B165" t="s">
        <v>155</v>
      </c>
      <c r="C165">
        <v>152500</v>
      </c>
      <c r="D165" t="s">
        <v>13</v>
      </c>
      <c r="E165">
        <v>0.36666666666666664</v>
      </c>
    </row>
    <row r="166">
      <c r="A166" t="s">
        <v>84</v>
      </c>
      <c r="B166" t="s">
        <v>155</v>
      </c>
      <c r="C166">
        <v>152500</v>
      </c>
      <c r="D166" t="s">
        <v>22</v>
      </c>
      <c r="E166">
        <v>364.26666666666665</v>
      </c>
    </row>
    <row r="167">
      <c r="A167" t="s">
        <v>84</v>
      </c>
      <c r="B167" t="s">
        <v>156</v>
      </c>
      <c r="C167">
        <v>150000</v>
      </c>
      <c r="D167" t="s">
        <v>13</v>
      </c>
      <c r="E167">
        <v>0.36666666666666664</v>
      </c>
    </row>
    <row r="168">
      <c r="A168" t="s">
        <v>84</v>
      </c>
      <c r="B168" t="s">
        <v>156</v>
      </c>
      <c r="C168">
        <v>150000</v>
      </c>
      <c r="D168" t="s">
        <v>22</v>
      </c>
      <c r="E168">
        <v>364.26666666666665</v>
      </c>
    </row>
    <row r="169">
      <c r="A169" t="s">
        <v>84</v>
      </c>
      <c r="B169" t="s">
        <v>156</v>
      </c>
      <c r="C169">
        <v>150000</v>
      </c>
      <c r="D169" t="s">
        <v>18</v>
      </c>
      <c r="E169">
        <v>1.4253333333333336</v>
      </c>
    </row>
    <row r="170">
      <c r="A170" t="s">
        <v>84</v>
      </c>
      <c r="B170" t="s">
        <v>157</v>
      </c>
      <c r="C170">
        <v>147500</v>
      </c>
      <c r="D170" t="s">
        <v>18</v>
      </c>
      <c r="E170">
        <v>1.4253333333333336</v>
      </c>
    </row>
    <row r="171">
      <c r="A171" t="s">
        <v>84</v>
      </c>
      <c r="B171" t="s">
        <v>157</v>
      </c>
      <c r="C171">
        <v>147500</v>
      </c>
      <c r="D171" t="s">
        <v>13</v>
      </c>
      <c r="E171">
        <v>0.36666666666666664</v>
      </c>
    </row>
    <row r="172">
      <c r="A172" t="s">
        <v>84</v>
      </c>
      <c r="B172" t="s">
        <v>157</v>
      </c>
      <c r="C172">
        <v>147500</v>
      </c>
      <c r="D172" t="s">
        <v>22</v>
      </c>
      <c r="E172">
        <v>364.26666666666665</v>
      </c>
    </row>
    <row r="173">
      <c r="A173" t="s">
        <v>84</v>
      </c>
      <c r="B173" t="s">
        <v>158</v>
      </c>
      <c r="C173">
        <v>145000</v>
      </c>
      <c r="D173" t="s">
        <v>18</v>
      </c>
      <c r="E173">
        <v>1.4253333333333336</v>
      </c>
    </row>
    <row r="174">
      <c r="A174" t="s">
        <v>84</v>
      </c>
      <c r="B174" t="s">
        <v>158</v>
      </c>
      <c r="C174">
        <v>145000</v>
      </c>
      <c r="D174" t="s">
        <v>13</v>
      </c>
      <c r="E174">
        <v>0.36666666666666664</v>
      </c>
    </row>
    <row r="175">
      <c r="A175" t="s">
        <v>84</v>
      </c>
      <c r="B175" t="s">
        <v>158</v>
      </c>
      <c r="C175">
        <v>145000</v>
      </c>
      <c r="D175" t="s">
        <v>22</v>
      </c>
      <c r="E175">
        <v>364.26666666666665</v>
      </c>
    </row>
    <row r="176">
      <c r="A176" t="s">
        <v>84</v>
      </c>
      <c r="B176" t="s">
        <v>159</v>
      </c>
      <c r="C176">
        <v>142500</v>
      </c>
      <c r="D176" t="s">
        <v>18</v>
      </c>
      <c r="E176">
        <v>1.4253333333333336</v>
      </c>
    </row>
    <row r="177">
      <c r="A177" t="s">
        <v>84</v>
      </c>
      <c r="B177" t="s">
        <v>159</v>
      </c>
      <c r="C177">
        <v>142500</v>
      </c>
      <c r="D177" t="s">
        <v>13</v>
      </c>
      <c r="E177">
        <v>0.36666666666666664</v>
      </c>
    </row>
    <row r="178">
      <c r="A178" t="s">
        <v>84</v>
      </c>
      <c r="B178" t="s">
        <v>159</v>
      </c>
      <c r="C178">
        <v>142500</v>
      </c>
      <c r="D178" t="s">
        <v>22</v>
      </c>
      <c r="E178">
        <v>364.26666666666665</v>
      </c>
    </row>
    <row r="179">
      <c r="A179" t="s">
        <v>84</v>
      </c>
      <c r="B179" t="s">
        <v>160</v>
      </c>
      <c r="C179">
        <v>140000</v>
      </c>
      <c r="D179" t="s">
        <v>18</v>
      </c>
      <c r="E179">
        <v>1.4253333333333336</v>
      </c>
    </row>
    <row r="180">
      <c r="A180" t="s">
        <v>84</v>
      </c>
      <c r="B180" t="s">
        <v>160</v>
      </c>
      <c r="C180">
        <v>140000</v>
      </c>
      <c r="D180" t="s">
        <v>13</v>
      </c>
      <c r="E180">
        <v>0.36666666666666664</v>
      </c>
    </row>
    <row r="181">
      <c r="A181" t="s">
        <v>84</v>
      </c>
      <c r="B181" t="s">
        <v>160</v>
      </c>
      <c r="C181">
        <v>140000</v>
      </c>
      <c r="D181" t="s">
        <v>22</v>
      </c>
      <c r="E181">
        <v>364.26666666666665</v>
      </c>
    </row>
    <row r="182">
      <c r="A182" t="s">
        <v>84</v>
      </c>
      <c r="B182" t="s">
        <v>161</v>
      </c>
      <c r="C182">
        <v>137500</v>
      </c>
      <c r="D182" t="s">
        <v>18</v>
      </c>
      <c r="E182">
        <v>1.4253333333333336</v>
      </c>
    </row>
    <row r="183">
      <c r="A183" t="s">
        <v>84</v>
      </c>
      <c r="B183" t="s">
        <v>161</v>
      </c>
      <c r="C183">
        <v>137500</v>
      </c>
      <c r="D183" t="s">
        <v>13</v>
      </c>
      <c r="E183">
        <v>0.36666666666666664</v>
      </c>
    </row>
    <row r="184">
      <c r="A184" t="s">
        <v>84</v>
      </c>
      <c r="B184" t="s">
        <v>161</v>
      </c>
      <c r="C184">
        <v>137500</v>
      </c>
      <c r="D184" t="s">
        <v>22</v>
      </c>
      <c r="E184">
        <v>364.26666666666665</v>
      </c>
    </row>
    <row r="185">
      <c r="A185" t="s">
        <v>84</v>
      </c>
      <c r="B185" t="s">
        <v>162</v>
      </c>
      <c r="C185">
        <v>135000</v>
      </c>
      <c r="D185" t="s">
        <v>18</v>
      </c>
      <c r="E185">
        <v>1.4253333333333336</v>
      </c>
    </row>
    <row r="186">
      <c r="A186" t="s">
        <v>84</v>
      </c>
      <c r="B186" t="s">
        <v>162</v>
      </c>
      <c r="C186">
        <v>135000</v>
      </c>
      <c r="D186" t="s">
        <v>13</v>
      </c>
      <c r="E186">
        <v>0.36666666666666664</v>
      </c>
    </row>
    <row r="187">
      <c r="A187" t="s">
        <v>84</v>
      </c>
      <c r="B187" t="s">
        <v>162</v>
      </c>
      <c r="C187">
        <v>135000</v>
      </c>
      <c r="D187" t="s">
        <v>22</v>
      </c>
      <c r="E187">
        <v>364.26666666666665</v>
      </c>
    </row>
    <row r="188">
      <c r="A188" t="s">
        <v>84</v>
      </c>
      <c r="B188" t="s">
        <v>119</v>
      </c>
      <c r="C188">
        <v>132500</v>
      </c>
      <c r="D188" t="s">
        <v>18</v>
      </c>
      <c r="E188">
        <v>1.4253333333333336</v>
      </c>
    </row>
    <row r="189">
      <c r="A189" t="s">
        <v>84</v>
      </c>
      <c r="B189" t="s">
        <v>119</v>
      </c>
      <c r="C189">
        <v>132500</v>
      </c>
      <c r="D189" t="s">
        <v>13</v>
      </c>
      <c r="E189">
        <v>0.36666666666666664</v>
      </c>
    </row>
    <row r="190">
      <c r="A190" t="s">
        <v>84</v>
      </c>
      <c r="B190" t="s">
        <v>119</v>
      </c>
      <c r="C190">
        <v>132500</v>
      </c>
      <c r="D190" t="s">
        <v>22</v>
      </c>
      <c r="E190">
        <v>364.26666666666665</v>
      </c>
    </row>
    <row r="191">
      <c r="A191" t="s">
        <v>84</v>
      </c>
      <c r="B191" t="s">
        <v>163</v>
      </c>
      <c r="C191">
        <v>130000</v>
      </c>
      <c r="D191" t="s">
        <v>13</v>
      </c>
      <c r="E191">
        <v>0.36666666666666664</v>
      </c>
    </row>
    <row r="192">
      <c r="A192" t="s">
        <v>84</v>
      </c>
      <c r="B192" t="s">
        <v>163</v>
      </c>
      <c r="C192">
        <v>130000</v>
      </c>
      <c r="D192" t="s">
        <v>22</v>
      </c>
      <c r="E192">
        <v>364.26666666666665</v>
      </c>
    </row>
    <row r="193">
      <c r="A193" t="s">
        <v>84</v>
      </c>
      <c r="B193" t="s">
        <v>163</v>
      </c>
      <c r="C193">
        <v>130000</v>
      </c>
      <c r="D193" t="s">
        <v>18</v>
      </c>
      <c r="E193">
        <v>1.4253333333333336</v>
      </c>
    </row>
    <row r="194">
      <c r="A194" t="s">
        <v>84</v>
      </c>
      <c r="B194" t="s">
        <v>164</v>
      </c>
      <c r="C194">
        <v>127500</v>
      </c>
      <c r="D194" t="s">
        <v>13</v>
      </c>
      <c r="E194">
        <v>0.36666666666666664</v>
      </c>
    </row>
    <row r="195">
      <c r="A195" t="s">
        <v>84</v>
      </c>
      <c r="B195" t="s">
        <v>164</v>
      </c>
      <c r="C195">
        <v>127500</v>
      </c>
      <c r="D195" t="s">
        <v>22</v>
      </c>
      <c r="E195">
        <v>364.26666666666665</v>
      </c>
    </row>
    <row r="196">
      <c r="A196" t="s">
        <v>84</v>
      </c>
      <c r="B196" t="s">
        <v>164</v>
      </c>
      <c r="C196">
        <v>127500</v>
      </c>
      <c r="D196" t="s">
        <v>18</v>
      </c>
      <c r="E196">
        <v>1.4253333333333336</v>
      </c>
    </row>
    <row r="197">
      <c r="A197" t="s">
        <v>84</v>
      </c>
      <c r="B197" t="s">
        <v>165</v>
      </c>
      <c r="C197">
        <v>125000</v>
      </c>
      <c r="D197" t="s">
        <v>13</v>
      </c>
      <c r="E197">
        <v>0.36666666666666664</v>
      </c>
    </row>
    <row r="198">
      <c r="A198" t="s">
        <v>84</v>
      </c>
      <c r="B198" t="s">
        <v>165</v>
      </c>
      <c r="C198">
        <v>125000</v>
      </c>
      <c r="D198" t="s">
        <v>22</v>
      </c>
      <c r="E198">
        <v>364.26666666666665</v>
      </c>
    </row>
    <row r="199">
      <c r="A199" t="s">
        <v>84</v>
      </c>
      <c r="B199" t="s">
        <v>165</v>
      </c>
      <c r="C199">
        <v>125000</v>
      </c>
      <c r="D199" t="s">
        <v>18</v>
      </c>
      <c r="E199">
        <v>1.4253333333333336</v>
      </c>
    </row>
    <row r="200">
      <c r="A200" t="s">
        <v>84</v>
      </c>
      <c r="B200" t="s">
        <v>166</v>
      </c>
      <c r="C200">
        <v>122500</v>
      </c>
      <c r="D200" t="s">
        <v>18</v>
      </c>
      <c r="E200">
        <v>1.4253333333333336</v>
      </c>
    </row>
    <row r="201">
      <c r="A201" t="s">
        <v>84</v>
      </c>
      <c r="B201" t="s">
        <v>166</v>
      </c>
      <c r="C201">
        <v>122500</v>
      </c>
      <c r="D201" t="s">
        <v>13</v>
      </c>
      <c r="E201">
        <v>0.36666666666666664</v>
      </c>
    </row>
    <row r="202">
      <c r="A202" t="s">
        <v>84</v>
      </c>
      <c r="B202" t="s">
        <v>166</v>
      </c>
      <c r="C202">
        <v>122500</v>
      </c>
      <c r="D202" t="s">
        <v>22</v>
      </c>
      <c r="E202">
        <v>364.26666666666665</v>
      </c>
    </row>
    <row r="203">
      <c r="A203" t="s">
        <v>84</v>
      </c>
      <c r="B203" t="s">
        <v>167</v>
      </c>
      <c r="C203">
        <v>120000</v>
      </c>
      <c r="D203" t="s">
        <v>18</v>
      </c>
      <c r="E203">
        <v>1.4253333333333336</v>
      </c>
    </row>
    <row r="204">
      <c r="A204" t="s">
        <v>84</v>
      </c>
      <c r="B204" t="s">
        <v>167</v>
      </c>
      <c r="C204">
        <v>120000</v>
      </c>
      <c r="D204" t="s">
        <v>13</v>
      </c>
      <c r="E204">
        <v>0.36666666666666664</v>
      </c>
    </row>
    <row r="205">
      <c r="A205" t="s">
        <v>84</v>
      </c>
      <c r="B205" t="s">
        <v>167</v>
      </c>
      <c r="C205">
        <v>120000</v>
      </c>
      <c r="D205" t="s">
        <v>22</v>
      </c>
      <c r="E205">
        <v>364.26666666666665</v>
      </c>
    </row>
    <row r="206">
      <c r="A206" t="s">
        <v>84</v>
      </c>
      <c r="B206" t="s">
        <v>168</v>
      </c>
      <c r="C206">
        <v>117500</v>
      </c>
      <c r="D206" t="s">
        <v>18</v>
      </c>
      <c r="E206">
        <v>1.4253333333333336</v>
      </c>
    </row>
    <row r="207">
      <c r="A207" t="s">
        <v>84</v>
      </c>
      <c r="B207" t="s">
        <v>168</v>
      </c>
      <c r="C207">
        <v>117500</v>
      </c>
      <c r="D207" t="s">
        <v>13</v>
      </c>
      <c r="E207">
        <v>0.36666666666666664</v>
      </c>
    </row>
    <row r="208">
      <c r="A208" t="s">
        <v>84</v>
      </c>
      <c r="B208" t="s">
        <v>168</v>
      </c>
      <c r="C208">
        <v>117500</v>
      </c>
      <c r="D208" t="s">
        <v>22</v>
      </c>
      <c r="E208">
        <v>364.26666666666665</v>
      </c>
    </row>
    <row r="209">
      <c r="A209" t="s">
        <v>84</v>
      </c>
      <c r="B209" t="s">
        <v>169</v>
      </c>
      <c r="C209">
        <v>115000</v>
      </c>
      <c r="D209" t="s">
        <v>13</v>
      </c>
      <c r="E209">
        <v>0.36666666666666664</v>
      </c>
    </row>
    <row r="210">
      <c r="A210" t="s">
        <v>84</v>
      </c>
      <c r="B210" t="s">
        <v>169</v>
      </c>
      <c r="C210">
        <v>115000</v>
      </c>
      <c r="D210" t="s">
        <v>22</v>
      </c>
      <c r="E210">
        <v>364.26666666666665</v>
      </c>
    </row>
    <row r="211">
      <c r="A211" t="s">
        <v>84</v>
      </c>
      <c r="B211" t="s">
        <v>169</v>
      </c>
      <c r="C211">
        <v>115000</v>
      </c>
      <c r="D211" t="s">
        <v>18</v>
      </c>
      <c r="E211">
        <v>1.4253333333333336</v>
      </c>
    </row>
    <row r="212">
      <c r="A212" t="s">
        <v>84</v>
      </c>
      <c r="B212" t="s">
        <v>170</v>
      </c>
      <c r="C212">
        <v>112500</v>
      </c>
      <c r="D212" t="s">
        <v>18</v>
      </c>
      <c r="E212">
        <v>1.4253333333333336</v>
      </c>
    </row>
    <row r="213">
      <c r="A213" t="s">
        <v>84</v>
      </c>
      <c r="B213" t="s">
        <v>170</v>
      </c>
      <c r="C213">
        <v>112500</v>
      </c>
      <c r="D213" t="s">
        <v>13</v>
      </c>
      <c r="E213">
        <v>0.36666666666666664</v>
      </c>
    </row>
    <row r="214">
      <c r="A214" t="s">
        <v>84</v>
      </c>
      <c r="B214" t="s">
        <v>170</v>
      </c>
      <c r="C214">
        <v>112500</v>
      </c>
      <c r="D214" t="s">
        <v>22</v>
      </c>
      <c r="E214">
        <v>364.26666666666665</v>
      </c>
    </row>
    <row r="215">
      <c r="A215" t="s">
        <v>84</v>
      </c>
      <c r="B215" t="s">
        <v>171</v>
      </c>
      <c r="C215">
        <v>110000</v>
      </c>
      <c r="D215" t="s">
        <v>18</v>
      </c>
      <c r="E215">
        <v>1.4253333333333336</v>
      </c>
    </row>
    <row r="216">
      <c r="A216" t="s">
        <v>84</v>
      </c>
      <c r="B216" t="s">
        <v>171</v>
      </c>
      <c r="C216">
        <v>110000</v>
      </c>
      <c r="D216" t="s">
        <v>13</v>
      </c>
      <c r="E216">
        <v>0.36666666666666664</v>
      </c>
    </row>
    <row r="217">
      <c r="A217" t="s">
        <v>84</v>
      </c>
      <c r="B217" t="s">
        <v>171</v>
      </c>
      <c r="C217">
        <v>110000</v>
      </c>
      <c r="D217" t="s">
        <v>22</v>
      </c>
      <c r="E217">
        <v>364.26666666666665</v>
      </c>
    </row>
    <row r="218">
      <c r="A218" t="s">
        <v>84</v>
      </c>
      <c r="B218" t="s">
        <v>172</v>
      </c>
      <c r="C218">
        <v>107500</v>
      </c>
      <c r="D218" t="s">
        <v>13</v>
      </c>
      <c r="E218">
        <v>0.36666666666666664</v>
      </c>
    </row>
    <row r="219">
      <c r="A219" t="s">
        <v>84</v>
      </c>
      <c r="B219" t="s">
        <v>172</v>
      </c>
      <c r="C219">
        <v>107500</v>
      </c>
      <c r="D219" t="s">
        <v>22</v>
      </c>
      <c r="E219">
        <v>364.26666666666665</v>
      </c>
    </row>
    <row r="220">
      <c r="A220" t="s">
        <v>84</v>
      </c>
      <c r="B220" t="s">
        <v>172</v>
      </c>
      <c r="C220">
        <v>107500</v>
      </c>
      <c r="D220" t="s">
        <v>18</v>
      </c>
      <c r="E220">
        <v>1.4253333333333336</v>
      </c>
    </row>
  </sheetData>
</worksheet>
</file>

<file path=xl/worksheets/sheet12.xml><?xml version="1.0" encoding="utf-8"?>
<worksheet xmlns="http://schemas.openxmlformats.org/spreadsheetml/2006/main">
  <dimension ref="A1"/>
  <sheetViews>
    <sheetView workbookViewId="0"/>
  </sheetViews>
  <sheetData>
    <row r="1">
      <c r="A1" t="s">
        <v>173</v>
      </c>
      <c r="B1" t="s">
        <v>174</v>
      </c>
    </row>
    <row r="2">
      <c r="A2">
        <v>-1933567.11076849</v>
      </c>
      <c r="B2">
        <v>-1948920.4533333331</v>
      </c>
    </row>
  </sheetData>
</worksheet>
</file>

<file path=xl/worksheets/sheet13.xml><?xml version="1.0" encoding="utf-8"?>
<worksheet xmlns="http://schemas.openxmlformats.org/spreadsheetml/2006/main">
  <dimension ref="A1"/>
  <sheetViews>
    <sheetView workbookViewId="0"/>
  </sheetViews>
  <sheetData>
    <row r="1">
      <c r="A1" t="s">
        <v>38</v>
      </c>
      <c r="B1" t="s">
        <v>175</v>
      </c>
    </row>
    <row r="2">
      <c r="A2" t="s">
        <v>39</v>
      </c>
      <c r="B2" t="b">
        <v>1</v>
      </c>
    </row>
    <row r="3">
      <c r="A3" t="s">
        <v>44</v>
      </c>
      <c r="B3">
        <v>0.1</v>
      </c>
    </row>
    <row r="4">
      <c r="A4" t="s">
        <v>48</v>
      </c>
      <c r="B4">
        <v>0.1</v>
      </c>
    </row>
  </sheetData>
</worksheet>
</file>

<file path=xl/worksheets/sheet14.xml><?xml version="1.0" encoding="utf-8"?>
<worksheet xmlns="http://schemas.openxmlformats.org/spreadsheetml/2006/main">
  <dimension ref="A1"/>
  <sheetViews>
    <sheetView workbookViewId="0"/>
  </sheetViews>
  <sheetData>
    <row r="1">
      <c r="A1" t="s">
        <v>102</v>
      </c>
      <c r="B1" t="s">
        <v>5</v>
      </c>
      <c r="C1" t="s">
        <v>6</v>
      </c>
      <c r="D1" t="s">
        <v>103</v>
      </c>
      <c r="E1" t="s">
        <v>64</v>
      </c>
    </row>
    <row r="2">
      <c r="A2" t="s">
        <v>22</v>
      </c>
      <c r="B2" t="s">
        <v>23</v>
      </c>
      <c r="C2" t="s">
        <v>104</v>
      </c>
      <c r="D2">
        <v>200</v>
      </c>
      <c r="E2">
        <v>50</v>
      </c>
    </row>
    <row r="3">
      <c r="A3" t="s">
        <v>13</v>
      </c>
      <c r="B3" t="s">
        <v>14</v>
      </c>
      <c r="C3" t="s">
        <v>106</v>
      </c>
      <c r="D3">
        <v>20</v>
      </c>
      <c r="E3">
        <v>0.05</v>
      </c>
    </row>
    <row r="4">
      <c r="A4" t="s">
        <v>108</v>
      </c>
      <c r="B4" t="s">
        <v>23</v>
      </c>
      <c r="C4" t="s">
        <v>104</v>
      </c>
      <c r="D4">
        <v>500</v>
      </c>
      <c r="E4">
        <v>30</v>
      </c>
    </row>
    <row r="5">
      <c r="A5" t="s">
        <v>108</v>
      </c>
      <c r="B5" t="s">
        <v>14</v>
      </c>
      <c r="C5" t="s">
        <v>106</v>
      </c>
      <c r="D5">
        <v>1.5</v>
      </c>
      <c r="E5">
        <v>0.02</v>
      </c>
    </row>
  </sheetData>
</worksheet>
</file>

<file path=xl/worksheets/sheet15.xml><?xml version="1.0" encoding="utf-8"?>
<worksheet xmlns="http://schemas.openxmlformats.org/spreadsheetml/2006/main">
  <dimension ref="A1"/>
  <sheetViews>
    <sheetView workbookViewId="0"/>
  </sheetViews>
  <sheetData>
    <row r="1">
      <c r="A1" t="s">
        <v>61</v>
      </c>
      <c r="B1" t="s">
        <v>117</v>
      </c>
      <c r="C1" t="s">
        <v>176</v>
      </c>
      <c r="D1" t="s">
        <v>177</v>
      </c>
      <c r="E1" t="s">
        <v>178</v>
      </c>
    </row>
    <row r="2">
      <c r="A2" t="s">
        <v>74</v>
      </c>
      <c r="B2">
        <v>0</v>
      </c>
      <c r="C2">
        <v>968</v>
      </c>
      <c r="D2">
        <v>0</v>
      </c>
      <c r="E2">
        <v>100</v>
      </c>
    </row>
    <row r="3">
      <c r="A3" t="s">
        <v>83</v>
      </c>
      <c r="B3">
        <v>0</v>
      </c>
      <c r="C3">
        <v>768</v>
      </c>
      <c r="D3">
        <v>480</v>
      </c>
      <c r="E3">
        <v>61.53846153846154</v>
      </c>
    </row>
    <row r="4"/>
    <row r="5"/>
    <row r="6">
      <c r="A6" t="s">
        <v>102</v>
      </c>
      <c r="B6" t="s">
        <v>179</v>
      </c>
    </row>
    <row r="7">
      <c r="A7" t="s">
        <v>108</v>
      </c>
      <c r="B7">
        <v>91296.59093333331</v>
      </c>
    </row>
    <row r="8">
      <c r="A8" t="s">
        <v>22</v>
      </c>
      <c r="B8">
        <v>4000000</v>
      </c>
    </row>
    <row r="9">
      <c r="A9" t="s">
        <v>13</v>
      </c>
      <c r="B9">
        <v>232899.46666666676</v>
      </c>
    </row>
  </sheetData>
</worksheet>
</file>

<file path=docProps/app.xml><?xml version="1.0" encoding="utf-8"?>
<Properties xmlns="http://schemas.openxmlformats.org/officeDocument/2006/extended-properties" xmlns:vt="http://schemas.openxmlformats.org/officeDocument/2006/docPropsVTypes">
  <Template/>
  <TotalTime>316</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2025-12-30T13:39:34Z</dcterms:created>
  <dc:creator/>
  <dc:description/>
  <dc:language>en-AU</dc:language>
  <cp:lastModifiedBy/>
  <dcterms:modified xsi:type="dcterms:W3CDTF">2026-01-23T09:05:08Z</dcterms:modified>
  <cp:revision>51</cp:revision>
  <dc:subject/>
  <dc:title/>
</cp:coreProperties>
</file>

<file path=docProps/custom.xml><?xml version="1.0" encoding="utf-8"?>
<Properties xmlns="http://schemas.openxmlformats.org/officeDocument/2006/custom-properties" xmlns:vt="http://schemas.openxmlformats.org/officeDocument/2006/docPropsVTypes"/>
</file>